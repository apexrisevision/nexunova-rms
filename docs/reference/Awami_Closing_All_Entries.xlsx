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Sep" sheetId="1" state="visible" r:id="rId1"/>
    <sheet xmlns:r="http://schemas.openxmlformats.org/officeDocument/2006/relationships" name="16-Sep" sheetId="2" state="visible" r:id="rId2"/>
    <sheet xmlns:r="http://schemas.openxmlformats.org/officeDocument/2006/relationships" name="17-Sep" sheetId="3" state="visible" r:id="rId3"/>
    <sheet xmlns:r="http://schemas.openxmlformats.org/officeDocument/2006/relationships" name="Entries" sheetId="4" state="visible" r:id="rId4"/>
    <sheet xmlns:r="http://schemas.openxmlformats.org/officeDocument/2006/relationships" name="Heads" sheetId="5" state="visible" r:id="rId5"/>
    <sheet xmlns:r="http://schemas.openxmlformats.org/officeDocument/2006/relationships" name="Lists" sheetId="6" state="hidden" r:id="rId6"/>
  </sheets>
  <definedNames>
    <definedName name="_xlnm.Print_Area" localSheetId="0">'15-Sep'!$A$1:$I$42</definedName>
    <definedName name="_xlnm.Print_Area" localSheetId="1">'16-Sep'!$A$1:$I$128</definedName>
    <definedName name="_xlnm.Print_Area" localSheetId="2">'17-Sep'!$A$1:$I$64</definedName>
    <definedName name="_xlnm._FilterDatabase" localSheetId="3" hidden="1">'Entries'!$A$1:$I$155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–&quot;"/>
    <numFmt numFmtId="165" formatCode="#,##0 &quot;Dr&quot;;#,##0 &quot;Cr&quot;;&quot;–&quot;"/>
    <numFmt numFmtId="166" formatCode="dd-mmm-yy"/>
    <numFmt numFmtId="167" formatCode="dd-mmm-yyyy"/>
    <numFmt numFmtId="168" formatCode="yyyy-mm-dd"/>
    <numFmt numFmtId="169" formatCode="yyyy-mm-dd h:mm:ss"/>
  </numFmts>
  <fonts count="12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  <font>
      <name val="Arial"/>
      <b val="1"/>
      <sz val="9"/>
    </font>
    <font>
      <name val="Arial"/>
      <b val="1"/>
      <color rgb="009CA3C4"/>
      <sz val="7"/>
    </font>
    <font>
      <name val="Arial"/>
      <b val="1"/>
      <color rgb="00FFFFFF"/>
      <sz val="16"/>
    </font>
    <font>
      <name val="Arial"/>
      <color rgb="009CA3C4"/>
      <sz val="7"/>
    </font>
    <font>
      <name val="Arial"/>
      <b val="1"/>
      <color rgb="00FFFFFF"/>
      <sz val="8"/>
    </font>
    <font>
      <name val="Arial"/>
      <b val="1"/>
      <color rgb="00111827"/>
      <sz val="9.5"/>
    </font>
    <font>
      <name val="Arial"/>
      <color rgb="006B7280"/>
      <sz val="7.5"/>
    </font>
    <font>
      <name val="Arial"/>
      <b val="1"/>
      <color rgb="006B7280"/>
      <sz val="7"/>
    </font>
    <font>
      <name val="Arial"/>
      <color rgb="006B7280"/>
      <sz val="8"/>
    </font>
    <font>
      <name val="Arial"/>
      <color rgb="00111827"/>
      <sz val="8.5"/>
    </font>
    <font>
      <name val="Arial"/>
      <color rgb="001D4ED8"/>
      <sz val="8.5"/>
    </font>
    <font>
      <name val="Arial"/>
      <sz val="8.5"/>
    </font>
    <font>
      <name val="Arial"/>
      <b val="1"/>
      <color rgb="00111827"/>
      <sz val="9"/>
    </font>
    <font>
      <name val="Arial"/>
      <i val="1"/>
      <color rgb="006B7280"/>
      <sz val="7"/>
    </font>
    <font>
      <name val="Arial"/>
      <color rgb="006B7280"/>
      <sz val="7"/>
    </font>
    <font>
      <name val="Arial"/>
      <b val="1"/>
      <color rgb="00111827"/>
      <sz val="10"/>
    </font>
    <font>
      <name val="Arial"/>
      <color rgb="00111827"/>
      <sz val="8"/>
    </font>
    <font>
      <name val="Arial"/>
      <b val="1"/>
      <color rgb="00111827"/>
      <sz val="8"/>
    </font>
    <font>
      <name val="Arial"/>
      <b val="1"/>
      <color rgb="00111827"/>
      <sz val="8.5"/>
    </font>
    <font>
      <name val="Arial"/>
      <color rgb="00B91C1C"/>
      <sz val="8"/>
    </font>
    <font>
      <name val="Arial"/>
      <b val="1"/>
      <color rgb="00B91C1C"/>
      <sz val="8.5"/>
    </font>
    <font>
      <name val="Arial"/>
      <b val="1"/>
      <color rgb="0015803D"/>
      <sz val="9.5"/>
    </font>
    <font>
      <name val="Arial"/>
      <b val="1"/>
      <color rgb="00B91C1C"/>
      <sz val="9.5"/>
    </font>
    <font>
      <name val="Arial"/>
      <b val="1"/>
      <color rgb="0015803D"/>
      <sz val="10"/>
    </font>
    <font>
      <name val="Arial"/>
      <b val="1"/>
      <color rgb="00B91C1C"/>
      <sz val="10"/>
    </font>
    <font>
      <name val="Arial"/>
      <b val="1"/>
      <color rgb="0016213E"/>
      <sz val="12"/>
    </font>
    <font>
      <name val="Arial"/>
      <b val="1"/>
      <sz val="8"/>
    </font>
    <font>
      <name val="Arial"/>
      <b val="1"/>
      <color rgb="006B7280"/>
      <sz val="7.5"/>
    </font>
    <font>
      <name val="Arial"/>
      <i val="1"/>
      <color rgb="009CA3AF"/>
      <sz val="6.5"/>
    </font>
    <font>
      <name val="Arial"/>
      <b val="1"/>
      <color rgb="00FFFFFF"/>
      <sz val="17"/>
    </font>
    <font>
      <name val="Arial"/>
      <b val="1"/>
      <color rgb="001D4ED8"/>
      <sz val="10"/>
    </font>
    <font>
      <name val="Arial"/>
      <color rgb="006B7280"/>
      <sz val="8.5"/>
    </font>
    <font>
      <name val="Arial"/>
      <b val="1"/>
      <sz val="8.5"/>
    </font>
    <font>
      <name val="Arial"/>
      <color rgb="001D4ED8"/>
      <sz val="8"/>
    </font>
    <font>
      <name val="Arial"/>
      <color rgb="001D4ED8"/>
      <sz val="7.5"/>
    </font>
    <font>
      <name val="Arial"/>
      <b val="1"/>
      <color rgb="001D4ED8"/>
      <sz val="8.5"/>
    </font>
    <font>
      <name val="Arial"/>
      <b val="1"/>
      <color rgb="0015803D"/>
      <sz val="8"/>
    </font>
    <font>
      <name val="Arial"/>
      <b val="1"/>
      <color rgb="009CA3C4"/>
      <sz val="8"/>
    </font>
    <font>
      <name val="Arial"/>
      <b val="1"/>
      <color rgb="00FFFFFF"/>
      <sz val="19"/>
    </font>
    <font>
      <name val="Arial"/>
      <color rgb="009CA3C4"/>
      <sz val="8"/>
    </font>
    <font>
      <name val="Arial"/>
      <b val="1"/>
      <color rgb="00FFFFFF"/>
      <sz val="11"/>
    </font>
    <font>
      <name val="Arial"/>
      <b val="1"/>
      <color rgb="006B7280"/>
      <sz val="8"/>
    </font>
    <font>
      <name val="Arial"/>
      <b val="1"/>
      <color rgb="00111827"/>
      <sz val="10.5"/>
    </font>
    <font>
      <name val="Arial"/>
      <color rgb="00111827"/>
      <sz val="9.5"/>
    </font>
    <font>
      <name val="Arial"/>
      <color rgb="001D4ED8"/>
      <sz val="9.5"/>
    </font>
    <font>
      <name val="Arial"/>
      <color rgb="0015803D"/>
      <sz val="9.5"/>
    </font>
    <font>
      <name val="Arial"/>
      <color rgb="00B91C1C"/>
      <sz val="9.5"/>
    </font>
    <font>
      <name val="Arial"/>
      <color rgb="006B7280"/>
      <sz val="9"/>
    </font>
    <font>
      <name val="Arial"/>
      <b val="1"/>
      <sz val="9.5"/>
    </font>
    <font>
      <name val="Arial"/>
      <i val="1"/>
      <color rgb="006B7280"/>
      <sz val="7.5"/>
    </font>
    <font>
      <name val="Arial"/>
      <b val="1"/>
      <color rgb="006B7280"/>
      <sz val="14"/>
    </font>
    <font>
      <name val="Arial"/>
      <b val="1"/>
      <color rgb="0015803D"/>
      <sz val="14"/>
    </font>
    <font>
      <name val="Arial"/>
      <b val="1"/>
      <color rgb="00B91C1C"/>
      <sz val="14"/>
    </font>
    <font>
      <name val="Arial"/>
      <b val="1"/>
      <color rgb="0016213E"/>
      <sz val="15"/>
    </font>
    <font>
      <name val="Arial"/>
      <b val="1"/>
      <color rgb="001D4ED8"/>
      <sz val="9"/>
    </font>
    <font>
      <name val="Arial"/>
      <color rgb="00111827"/>
      <sz val="9"/>
    </font>
    <font>
      <name val="Arial"/>
      <b val="1"/>
      <color rgb="0015803D"/>
      <sz val="11"/>
    </font>
    <font>
      <name val="Arial"/>
      <b val="1"/>
      <color rgb="00B91C1C"/>
      <sz val="11"/>
    </font>
    <font>
      <name val="Arial"/>
      <b val="1"/>
      <color rgb="0015803D"/>
      <sz val="13"/>
    </font>
    <font>
      <name val="Arial"/>
      <i val="1"/>
      <color rgb="009CA3AF"/>
      <sz val="7"/>
    </font>
    <font>
      <name val="Calibri"/>
      <b val="1"/>
      <color rgb="00C9B98A"/>
      <sz val="8"/>
    </font>
    <font>
      <name val="Calibri"/>
      <b val="1"/>
      <color rgb="00FFFFFF"/>
      <sz val="20"/>
    </font>
    <font>
      <name val="Calibri"/>
      <color rgb="00C9B98A"/>
      <sz val="8"/>
    </font>
    <font>
      <name val="Calibri"/>
      <b val="1"/>
      <color rgb="00FFFFFF"/>
      <sz val="11"/>
    </font>
    <font>
      <name val="Calibri"/>
      <b val="1"/>
      <color rgb="006B7280"/>
      <sz val="8"/>
    </font>
    <font>
      <name val="Calibri"/>
      <sz val="9"/>
    </font>
    <font>
      <name val="Calibri"/>
      <b val="1"/>
      <color rgb="006B7280"/>
      <sz val="7.5"/>
    </font>
    <font>
      <name val="Calibri"/>
      <color rgb="00111827"/>
      <sz val="9.5"/>
    </font>
    <font>
      <name val="Calibri"/>
      <color rgb="001D4ED8"/>
      <sz val="9.5"/>
    </font>
    <font>
      <name val="Calibri"/>
      <color rgb="0015803D"/>
      <sz val="9.5"/>
    </font>
    <font>
      <name val="Calibri"/>
      <color rgb="00B91C1C"/>
      <sz val="9.5"/>
    </font>
    <font>
      <name val="Calibri"/>
      <color rgb="006B7280"/>
      <sz val="9"/>
    </font>
    <font>
      <name val="Calibri"/>
      <b val="1"/>
      <color rgb="00111827"/>
      <sz val="10"/>
    </font>
    <font>
      <name val="Calibri"/>
      <b val="1"/>
      <sz val="9.5"/>
    </font>
    <font>
      <name val="Calibri"/>
      <color rgb="006B7280"/>
      <sz val="7"/>
    </font>
    <font>
      <name val="Calibri"/>
      <color rgb="001D4ED8"/>
      <sz val="8.5"/>
    </font>
    <font>
      <name val="Calibri"/>
      <b val="1"/>
      <color rgb="006B7280"/>
      <sz val="14"/>
    </font>
    <font>
      <name val="Calibri"/>
      <b val="1"/>
      <color rgb="0015803D"/>
      <sz val="14"/>
    </font>
    <font>
      <name val="Calibri"/>
      <b val="1"/>
      <color rgb="00B91C1C"/>
      <sz val="14"/>
    </font>
    <font>
      <name val="Calibri"/>
      <b val="1"/>
      <color rgb="0016213E"/>
      <sz val="15"/>
    </font>
    <font>
      <name val="Calibri"/>
      <b val="1"/>
      <color rgb="001D4ED8"/>
      <sz val="9"/>
    </font>
    <font>
      <name val="Calibri"/>
      <color rgb="00111827"/>
      <sz val="9"/>
    </font>
    <font>
      <name val="Calibri"/>
      <color rgb="00111827"/>
      <sz val="8.5"/>
    </font>
    <font>
      <name val="Calibri"/>
      <b val="1"/>
      <color rgb="0015803D"/>
      <sz val="9.5"/>
    </font>
    <font>
      <name val="Calibri"/>
      <color rgb="006B7280"/>
      <sz val="8"/>
    </font>
    <font>
      <name val="Calibri"/>
      <b val="1"/>
      <color rgb="00111827"/>
      <sz val="9.5"/>
    </font>
    <font>
      <name val="Calibri"/>
      <b val="1"/>
      <color rgb="0015803D"/>
      <sz val="11"/>
    </font>
    <font>
      <name val="Calibri"/>
      <b val="1"/>
      <color rgb="00B91C1C"/>
      <sz val="9.5"/>
    </font>
    <font>
      <name val="Calibri"/>
      <b val="1"/>
      <color rgb="00B91C1C"/>
      <sz val="11"/>
    </font>
    <font>
      <name val="Calibri"/>
      <b val="1"/>
      <color rgb="0015803D"/>
      <sz val="10"/>
    </font>
    <font>
      <name val="Calibri"/>
      <b val="1"/>
      <color rgb="0015803D"/>
      <sz val="13"/>
    </font>
    <font>
      <name val="Calibri"/>
      <i val="1"/>
      <color rgb="009CA3AF"/>
      <sz val="7"/>
    </font>
    <font>
      <name val="Calibri"/>
      <b val="1"/>
      <color rgb="009CA3C4"/>
      <sz val="7"/>
    </font>
    <font>
      <name val="Calibri"/>
      <color rgb="009CA3C4"/>
      <sz val="7"/>
    </font>
    <font>
      <name val="Calibri"/>
      <b val="1"/>
      <color rgb="00FFFFFF"/>
      <sz val="8"/>
    </font>
    <font>
      <name val="Calibri"/>
      <b val="1"/>
      <color rgb="00FFFFFF"/>
      <sz val="16"/>
    </font>
    <font>
      <name val="Calibri"/>
      <b val="1"/>
      <color rgb="00B91C1C"/>
      <sz val="10"/>
    </font>
    <font>
      <name val="Calibri"/>
      <b val="1"/>
      <color rgb="0016213E"/>
      <sz val="12"/>
    </font>
    <font>
      <name val="Calibri"/>
      <color rgb="006B7280"/>
      <sz val="7.5"/>
    </font>
    <font>
      <name val="Calibri"/>
      <b val="1"/>
      <color rgb="006B7280"/>
      <sz val="7"/>
    </font>
    <font>
      <name val="Calibri"/>
      <sz val="8.5"/>
    </font>
    <font>
      <name val="Calibri"/>
      <b val="1"/>
      <color rgb="00111827"/>
      <sz val="9"/>
    </font>
    <font>
      <name val="Calibri"/>
      <i val="1"/>
      <color rgb="006B7280"/>
      <sz val="7"/>
    </font>
    <font>
      <name val="Calibri"/>
      <color rgb="00111827"/>
      <sz val="8"/>
    </font>
    <font>
      <name val="Calibri"/>
      <b val="1"/>
      <color rgb="00111827"/>
      <sz val="8"/>
    </font>
    <font>
      <name val="Calibri"/>
      <b val="1"/>
      <color rgb="00111827"/>
      <sz val="8.5"/>
    </font>
    <font>
      <name val="Calibri"/>
      <color rgb="00B91C1C"/>
      <sz val="8"/>
    </font>
    <font>
      <name val="Calibri"/>
      <b val="1"/>
      <color rgb="00B91C1C"/>
      <sz val="8.5"/>
    </font>
    <font>
      <name val="Calibri"/>
      <b val="1"/>
      <sz val="8"/>
    </font>
    <font>
      <name val="Calibri"/>
      <i val="1"/>
      <color rgb="009CA3AF"/>
      <sz val="6.5"/>
    </font>
    <font>
      <name val="Calibri"/>
      <b val="1"/>
      <color rgb="00C9B98A"/>
      <sz val="7"/>
    </font>
    <font>
      <name val="Calibri"/>
      <color rgb="00C9B98A"/>
      <sz val="7"/>
    </font>
    <font>
      <name val="Calibri"/>
      <i val="1"/>
      <color rgb="00E4E9F2"/>
      <sz val="7.5"/>
    </font>
    <font>
      <name val="Calibri"/>
      <b val="1"/>
      <sz val="9"/>
    </font>
    <font>
      <name val="Calibri"/>
      <color rgb="00111827"/>
      <sz val="10"/>
    </font>
    <font>
      <name val="Calibri"/>
      <color rgb="0015803D"/>
      <sz val="10"/>
    </font>
    <font>
      <name val="Calibri"/>
      <color rgb="00B91C1C"/>
      <sz val="10"/>
    </font>
    <font>
      <name val="Calibri"/>
      <b val="1"/>
      <color rgb="001D4ED8"/>
      <sz val="8.5"/>
    </font>
    <font>
      <name val="Calibri"/>
      <b val="1"/>
      <sz val="8.5"/>
    </font>
    <font>
      <name val="Calibri"/>
      <b val="1"/>
      <sz val="10"/>
    </font>
    <font>
      <name val="Calibri"/>
      <b val="1"/>
      <color rgb="0015803D"/>
      <sz val="8.5"/>
    </font>
  </fonts>
  <fills count="7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5F6F8"/>
      </patternFill>
    </fill>
    <fill>
      <patternFill patternType="solid">
        <fgColor rgb="0015803D"/>
      </patternFill>
    </fill>
    <fill>
      <patternFill patternType="solid">
        <fgColor rgb="00B91C1C"/>
      </patternFill>
    </fill>
    <fill>
      <patternFill patternType="solid">
        <fgColor rgb="00B8892B"/>
      </patternFill>
    </fill>
  </fills>
  <borders count="20">
    <border>
      <left/>
      <right/>
      <top/>
      <bottom/>
      <diagonal/>
    </border>
    <border>
      <bottom style="thin">
        <color rgb="00D1D5DB"/>
      </bottom>
    </border>
    <border>
      <bottom style="thin">
        <color rgb="00E5E7EB"/>
      </bottom>
    </border>
    <border>
      <top style="thin">
        <color rgb="00111827"/>
      </top>
    </border>
    <border>
      <left/>
      <right/>
      <top/>
      <bottom style="thin">
        <color rgb="00E5E7EB"/>
      </bottom>
      <diagonal/>
    </border>
    <border>
      <top style="thin">
        <color rgb="00111827"/>
      </top>
      <bottom style="thin">
        <color rgb="00111827"/>
      </bottom>
    </border>
    <border>
      <bottom style="thin">
        <color rgb="0093A3C8"/>
      </bottom>
    </border>
    <border>
      <right/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</border>
    <border>
      <left style="thin">
        <color rgb="00D1D5DB"/>
      </left>
      <right style="thin">
        <color rgb="00D1D5DB"/>
      </right>
      <bottom style="thin">
        <color rgb="00D1D5DB"/>
      </bottom>
    </border>
    <border>
      <top style="thin">
        <color rgb="00111827"/>
      </top>
      <bottom style="double">
        <color rgb="00111827"/>
      </bottom>
    </border>
    <border>
      <left style="thin">
        <color rgb="00D1D5DB"/>
      </left>
      <right style="thin">
        <color rgb="00D1D5DB"/>
      </right>
    </border>
    <border>
      <left/>
      <right style="thin">
        <color rgb="00D1D5DB"/>
      </right>
      <top/>
      <bottom/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 style="thin">
        <color rgb="00D1D5DB"/>
      </left>
      <right style="thin">
        <color rgb="00D1D5DB"/>
      </right>
      <bottom/>
    </border>
    <border>
      <left style="thin">
        <color rgb="00D1D5DB"/>
      </left>
      <right style="thin">
        <color rgb="00D1D5DB"/>
      </right>
      <top style="thin">
        <color rgb="00D1D5DB"/>
      </top>
      <bottom/>
    </border>
    <border>
      <left style="thin">
        <color rgb="00D1D5DB"/>
      </left>
      <right/>
      <top/>
      <bottom/>
      <diagonal/>
    </border>
  </borders>
  <cellStyleXfs count="1">
    <xf numFmtId="0" fontId="0" fillId="0" borderId="0"/>
  </cellStyleXfs>
  <cellXfs count="286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6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17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right" vertical="center"/>
    </xf>
    <xf numFmtId="0" fontId="0" fillId="3" borderId="1" pivotButton="0" quotePrefix="0" xfId="0"/>
    <xf numFmtId="0" fontId="18" fillId="3" borderId="1" applyAlignment="1" pivotButton="0" quotePrefix="0" xfId="0">
      <alignment horizontal="left" vertical="center"/>
    </xf>
    <xf numFmtId="164" fontId="26" fillId="3" borderId="1" applyAlignment="1" pivotButton="0" quotePrefix="0" xfId="0">
      <alignment horizontal="right" vertical="center"/>
    </xf>
    <xf numFmtId="164" fontId="27" fillId="3" borderId="1" applyAlignment="1" pivotButton="0" quotePrefix="0" xfId="0">
      <alignment horizontal="right" vertical="center"/>
    </xf>
    <xf numFmtId="164" fontId="18" fillId="3" borderId="1" applyAlignment="1" pivotButton="0" quotePrefix="0" xfId="0">
      <alignment horizontal="right" vertical="center"/>
    </xf>
    <xf numFmtId="164" fontId="28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0" fillId="0" borderId="2" pivotButton="0" quotePrefix="0" xfId="0"/>
    <xf numFmtId="165" fontId="13" fillId="0" borderId="2" applyAlignment="1" pivotButton="0" quotePrefix="0" xfId="0">
      <alignment horizontal="right" vertical="center"/>
    </xf>
    <xf numFmtId="164" fontId="14" fillId="0" borderId="2" applyAlignment="1" pivotButton="0" quotePrefix="0" xfId="0">
      <alignment horizontal="right" vertical="center"/>
    </xf>
    <xf numFmtId="165" fontId="15" fillId="0" borderId="2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0" fillId="4" borderId="0" pivotButton="0" quotePrefix="0" xfId="0"/>
    <xf numFmtId="166" fontId="19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164" fontId="21" fillId="0" borderId="2" applyAlignment="1" pivotButton="0" quotePrefix="0" xfId="0">
      <alignment horizontal="right" vertical="center"/>
    </xf>
    <xf numFmtId="0" fontId="22" fillId="0" borderId="2" applyAlignment="1" pivotButton="0" quotePrefix="0" xfId="0">
      <alignment horizontal="left" vertical="center" wrapText="1"/>
    </xf>
    <xf numFmtId="164" fontId="23" fillId="0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21" fillId="0" borderId="3" applyAlignment="1" pivotButton="0" quotePrefix="0" xfId="0">
      <alignment horizontal="right" vertical="center"/>
    </xf>
    <xf numFmtId="164" fontId="24" fillId="0" borderId="3" applyAlignment="1" pivotButton="0" quotePrefix="0" xfId="0">
      <alignment horizontal="right" vertical="center"/>
    </xf>
    <xf numFmtId="0" fontId="0" fillId="5" borderId="0" pivotButton="0" quotePrefix="0" xfId="0"/>
    <xf numFmtId="0" fontId="9" fillId="0" borderId="2" applyAlignment="1" pivotButton="0" quotePrefix="0" xfId="0">
      <alignment horizontal="left" vertical="center"/>
    </xf>
    <xf numFmtId="164" fontId="25" fillId="0" borderId="3" applyAlignment="1" pivotButton="0" quotePrefix="0" xfId="0">
      <alignment horizontal="right" vertical="center"/>
    </xf>
    <xf numFmtId="164" fontId="8" fillId="0" borderId="3" applyAlignment="1" pivotButton="0" quotePrefix="0" xfId="0">
      <alignment horizontal="right" vertical="center"/>
    </xf>
    <xf numFmtId="0" fontId="19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top" wrapText="1"/>
    </xf>
    <xf numFmtId="0" fontId="17" fillId="0" borderId="3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0" pivotButton="0" quotePrefix="0" xfId="0"/>
    <xf numFmtId="166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6" fontId="7" fillId="2" borderId="0" applyAlignment="1" pivotButton="0" quotePrefix="0" xfId="0">
      <alignment horizontal="right" vertical="center"/>
    </xf>
    <xf numFmtId="164" fontId="26" fillId="3" borderId="1" applyAlignment="1" pivotButton="0" quotePrefix="0" xfId="0">
      <alignment horizontal="right" vertical="center"/>
    </xf>
    <xf numFmtId="164" fontId="27" fillId="3" borderId="1" applyAlignment="1" pivotButton="0" quotePrefix="0" xfId="0">
      <alignment horizontal="right" vertical="center"/>
    </xf>
    <xf numFmtId="164" fontId="18" fillId="3" borderId="1" applyAlignment="1" pivotButton="0" quotePrefix="0" xfId="0">
      <alignment horizontal="right" vertical="center"/>
    </xf>
    <xf numFmtId="164" fontId="28" fillId="3" borderId="1" applyAlignment="1" pivotButton="0" quotePrefix="0" xfId="0">
      <alignment horizontal="right" vertical="center"/>
    </xf>
    <xf numFmtId="0" fontId="0" fillId="0" borderId="4" pivotButton="0" quotePrefix="0" xfId="0"/>
    <xf numFmtId="165" fontId="13" fillId="0" borderId="2" applyAlignment="1" pivotButton="0" quotePrefix="0" xfId="0">
      <alignment horizontal="right" vertical="center"/>
    </xf>
    <xf numFmtId="164" fontId="14" fillId="0" borderId="2" applyAlignment="1" pivotButton="0" quotePrefix="0" xfId="0">
      <alignment horizontal="right" vertical="center"/>
    </xf>
    <xf numFmtId="165" fontId="15" fillId="0" borderId="2" applyAlignment="1" pivotButton="0" quotePrefix="0" xfId="0">
      <alignment horizontal="right" vertical="center"/>
    </xf>
    <xf numFmtId="166" fontId="19" fillId="0" borderId="2" applyAlignment="1" pivotButton="0" quotePrefix="0" xfId="0">
      <alignment horizontal="left" vertical="center"/>
    </xf>
    <xf numFmtId="164" fontId="21" fillId="0" borderId="2" applyAlignment="1" pivotButton="0" quotePrefix="0" xfId="0">
      <alignment horizontal="right" vertical="center"/>
    </xf>
    <xf numFmtId="164" fontId="23" fillId="0" borderId="2" applyAlignment="1" pivotButton="0" quotePrefix="0" xfId="0">
      <alignment horizontal="right" vertical="center"/>
    </xf>
    <xf numFmtId="164" fontId="24" fillId="0" borderId="3" applyAlignment="1" pivotButton="0" quotePrefix="0" xfId="0">
      <alignment horizontal="right" vertical="center"/>
    </xf>
    <xf numFmtId="164" fontId="25" fillId="0" borderId="3" applyAlignment="1" pivotButton="0" quotePrefix="0" xfId="0">
      <alignment horizontal="right" vertical="center"/>
    </xf>
    <xf numFmtId="164" fontId="8" fillId="0" borderId="3" applyAlignment="1" pivotButton="0" quotePrefix="0" xfId="0">
      <alignment horizontal="right" vertical="center"/>
    </xf>
    <xf numFmtId="0" fontId="32" fillId="2" borderId="0" applyAlignment="1" pivotButton="0" quotePrefix="0" xfId="0">
      <alignment vertical="center"/>
    </xf>
    <xf numFmtId="166" fontId="33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4" fontId="34" fillId="0" borderId="2" applyAlignment="1" pivotButton="0" quotePrefix="0" xfId="0">
      <alignment horizontal="right" vertical="center"/>
    </xf>
    <xf numFmtId="164" fontId="15" fillId="0" borderId="2" applyAlignment="1" pivotButton="0" quotePrefix="0" xfId="0">
      <alignment horizontal="right" vertical="center"/>
    </xf>
    <xf numFmtId="0" fontId="35" fillId="0" borderId="5" applyAlignment="1" pivotButton="0" quotePrefix="0" xfId="0">
      <alignment horizontal="left" vertical="center"/>
    </xf>
    <xf numFmtId="0" fontId="0" fillId="0" borderId="5" pivotButton="0" quotePrefix="0" xfId="0"/>
    <xf numFmtId="164" fontId="15" fillId="0" borderId="5" applyAlignment="1" pivotButton="0" quotePrefix="0" xfId="0">
      <alignment horizontal="right" vertical="center"/>
    </xf>
    <xf numFmtId="164" fontId="36" fillId="0" borderId="6" applyAlignment="1" pivotButton="0" quotePrefix="0" xfId="0">
      <alignment horizontal="right" vertical="center"/>
    </xf>
    <xf numFmtId="0" fontId="36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 wrapText="1"/>
    </xf>
    <xf numFmtId="0" fontId="37" fillId="0" borderId="2" applyAlignment="1" pivotButton="0" quotePrefix="0" xfId="0">
      <alignment horizontal="left" vertical="center" indent="1"/>
    </xf>
    <xf numFmtId="164" fontId="38" fillId="0" borderId="2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164" fontId="15" fillId="0" borderId="3" applyAlignment="1" pivotButton="0" quotePrefix="0" xfId="0">
      <alignment horizontal="right" vertical="center"/>
    </xf>
    <xf numFmtId="0" fontId="39" fillId="0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vertical="top" wrapText="1"/>
    </xf>
    <xf numFmtId="166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12" fillId="0" borderId="7" applyAlignment="1" pivotButton="0" quotePrefix="0" xfId="0">
      <alignment horizontal="left" vertical="center"/>
    </xf>
    <xf numFmtId="0" fontId="19" fillId="0" borderId="7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left" vertical="center" wrapText="1"/>
    </xf>
    <xf numFmtId="0" fontId="19" fillId="0" borderId="7" applyAlignment="1" pivotButton="0" quotePrefix="0" xfId="0">
      <alignment horizontal="left" vertical="center"/>
    </xf>
    <xf numFmtId="0" fontId="40" fillId="2" borderId="0" pivotButton="0" quotePrefix="0" xfId="0"/>
    <xf numFmtId="0" fontId="42" fillId="2" borderId="0" applyAlignment="1" pivotButton="0" quotePrefix="0" xfId="0">
      <alignment horizontal="right" vertical="center"/>
    </xf>
    <xf numFmtId="167" fontId="43" fillId="2" borderId="0" applyAlignment="1" pivotButton="0" quotePrefix="0" xfId="0">
      <alignment horizontal="right" vertical="center"/>
    </xf>
    <xf numFmtId="0" fontId="41" fillId="2" borderId="0" applyAlignment="1" pivotButton="0" quotePrefix="0" xfId="0">
      <alignment vertical="center"/>
    </xf>
    <xf numFmtId="0" fontId="43" fillId="2" borderId="0" applyAlignment="1" pivotButton="0" quotePrefix="0" xfId="0">
      <alignment horizontal="right" vertical="center"/>
    </xf>
    <xf numFmtId="0" fontId="44" fillId="3" borderId="8" applyAlignment="1" pivotButton="0" quotePrefix="0" xfId="0">
      <alignment horizontal="center" vertical="center"/>
    </xf>
    <xf numFmtId="0" fontId="61" fillId="3" borderId="0" applyAlignment="1" pivotButton="0" quotePrefix="0" xfId="0">
      <alignment horizontal="center" vertical="center"/>
    </xf>
    <xf numFmtId="164" fontId="53" fillId="3" borderId="9" applyAlignment="1" pivotButton="0" quotePrefix="0" xfId="0">
      <alignment horizontal="center" vertical="center"/>
    </xf>
    <xf numFmtId="164" fontId="54" fillId="3" borderId="9" applyAlignment="1" pivotButton="0" quotePrefix="0" xfId="0">
      <alignment horizontal="center" vertical="center"/>
    </xf>
    <xf numFmtId="164" fontId="55" fillId="3" borderId="9" applyAlignment="1" pivotButton="0" quotePrefix="0" xfId="0">
      <alignment horizontal="center" vertical="center"/>
    </xf>
    <xf numFmtId="164" fontId="56" fillId="3" borderId="9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30" fillId="3" borderId="0" applyAlignment="1" pivotButton="0" quotePrefix="0" xfId="0">
      <alignment horizontal="left" vertical="center"/>
    </xf>
    <xf numFmtId="0" fontId="30" fillId="3" borderId="0" applyAlignment="1" pivotButton="0" quotePrefix="0" xfId="0">
      <alignment horizontal="right" vertical="center"/>
    </xf>
    <xf numFmtId="0" fontId="46" fillId="0" borderId="2" applyAlignment="1" pivotButton="0" quotePrefix="0" xfId="0">
      <alignment horizontal="left" vertical="center"/>
    </xf>
    <xf numFmtId="164" fontId="47" fillId="0" borderId="2" applyAlignment="1" pivotButton="0" quotePrefix="0" xfId="0">
      <alignment horizontal="right" vertical="center"/>
    </xf>
    <xf numFmtId="164" fontId="48" fillId="0" borderId="2" applyAlignment="1" pivotButton="0" quotePrefix="0" xfId="0">
      <alignment horizontal="right" vertical="center"/>
    </xf>
    <xf numFmtId="164" fontId="49" fillId="0" borderId="2" applyAlignment="1" pivotButton="0" quotePrefix="0" xfId="0">
      <alignment horizontal="right" vertical="center"/>
    </xf>
    <xf numFmtId="164" fontId="50" fillId="0" borderId="2" applyAlignment="1" pivotButton="0" quotePrefix="0" xfId="0">
      <alignment horizontal="right" vertical="center"/>
    </xf>
    <xf numFmtId="164" fontId="18" fillId="0" borderId="2" applyAlignment="1" pivotButton="0" quotePrefix="0" xfId="0">
      <alignment horizontal="right" vertical="center"/>
    </xf>
    <xf numFmtId="0" fontId="2" fillId="0" borderId="10" pivotButton="0" quotePrefix="0" xfId="0"/>
    <xf numFmtId="0" fontId="17" fillId="0" borderId="10" applyAlignment="1" pivotButton="0" quotePrefix="0" xfId="0">
      <alignment horizontal="right" vertical="center"/>
    </xf>
    <xf numFmtId="164" fontId="13" fillId="0" borderId="6" applyAlignment="1" pivotButton="0" quotePrefix="0" xfId="0">
      <alignment horizontal="right" vertical="center"/>
    </xf>
    <xf numFmtId="164" fontId="17" fillId="0" borderId="10" applyAlignment="1" pivotButton="0" quotePrefix="0" xfId="0">
      <alignment horizontal="right" vertical="center"/>
    </xf>
    <xf numFmtId="0" fontId="57" fillId="0" borderId="2" applyAlignment="1" pivotButton="0" quotePrefix="0" xfId="0">
      <alignment horizontal="left" vertical="center"/>
    </xf>
    <xf numFmtId="0" fontId="58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indent="1"/>
    </xf>
    <xf numFmtId="0" fontId="50" fillId="0" borderId="2" applyAlignment="1" pivotButton="0" quotePrefix="0" xfId="0">
      <alignment horizontal="left" vertical="center"/>
    </xf>
    <xf numFmtId="164" fontId="24" fillId="0" borderId="2" applyAlignment="1" pivotButton="0" quotePrefix="0" xfId="0">
      <alignment horizontal="right" vertical="center"/>
    </xf>
    <xf numFmtId="0" fontId="11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right" vertical="center"/>
    </xf>
    <xf numFmtId="164" fontId="59" fillId="0" borderId="3" applyAlignment="1" pivotButton="0" quotePrefix="0" xfId="0">
      <alignment horizontal="right" vertical="center"/>
    </xf>
    <xf numFmtId="164" fontId="25" fillId="0" borderId="2" applyAlignment="1" pivotButton="0" quotePrefix="0" xfId="0">
      <alignment horizontal="right" vertical="center"/>
    </xf>
    <xf numFmtId="164" fontId="60" fillId="0" borderId="3" applyAlignment="1" pivotButton="0" quotePrefix="0" xfId="0">
      <alignment horizontal="right" vertical="center"/>
    </xf>
    <xf numFmtId="0" fontId="58" fillId="0" borderId="8" applyAlignment="1" pivotButton="0" quotePrefix="0" xfId="0">
      <alignment horizontal="left" vertical="center" indent="1"/>
    </xf>
    <xf numFmtId="0" fontId="0" fillId="0" borderId="8" pivotButton="0" quotePrefix="0" xfId="0"/>
    <xf numFmtId="164" fontId="8" fillId="0" borderId="8" applyAlignment="1" pivotButton="0" quotePrefix="0" xfId="0">
      <alignment horizontal="right" vertical="center"/>
    </xf>
    <xf numFmtId="0" fontId="58" fillId="3" borderId="11" applyAlignment="1" pivotButton="0" quotePrefix="0" xfId="0">
      <alignment horizontal="left" vertical="center" indent="1"/>
    </xf>
    <xf numFmtId="0" fontId="0" fillId="3" borderId="11" pivotButton="0" quotePrefix="0" xfId="0"/>
    <xf numFmtId="164" fontId="8" fillId="3" borderId="11" applyAlignment="1" pivotButton="0" quotePrefix="0" xfId="0">
      <alignment horizontal="right" vertical="center"/>
    </xf>
    <xf numFmtId="0" fontId="58" fillId="0" borderId="11" applyAlignment="1" pivotButton="0" quotePrefix="0" xfId="0">
      <alignment horizontal="left" vertical="center" indent="1"/>
    </xf>
    <xf numFmtId="0" fontId="0" fillId="0" borderId="11" pivotButton="0" quotePrefix="0" xfId="0"/>
    <xf numFmtId="164" fontId="8" fillId="0" borderId="11" applyAlignment="1" pivotButton="0" quotePrefix="0" xfId="0">
      <alignment horizontal="right" vertical="center"/>
    </xf>
    <xf numFmtId="0" fontId="58" fillId="3" borderId="9" applyAlignment="1" pivotButton="0" quotePrefix="0" xfId="0">
      <alignment horizontal="left" vertical="center" indent="1"/>
    </xf>
    <xf numFmtId="0" fontId="0" fillId="3" borderId="9" pivotButton="0" quotePrefix="0" xfId="0"/>
    <xf numFmtId="164" fontId="8" fillId="3" borderId="9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indent="1"/>
    </xf>
    <xf numFmtId="0" fontId="58" fillId="0" borderId="0" applyAlignment="1" pivotButton="0" quotePrefix="0" xfId="0">
      <alignment horizontal="left" vertical="top" wrapText="1"/>
    </xf>
    <xf numFmtId="0" fontId="62" fillId="0" borderId="0" applyAlignment="1" pivotButton="0" quotePrefix="0" xfId="0">
      <alignment horizontal="left" vertical="center"/>
    </xf>
    <xf numFmtId="167" fontId="43" fillId="2" borderId="0" applyAlignment="1" pivotButton="0" quotePrefix="0" xfId="0">
      <alignment horizontal="right" vertical="center"/>
    </xf>
    <xf numFmtId="0" fontId="0" fillId="0" borderId="10" pivotButton="0" quotePrefix="0" xfId="0"/>
    <xf numFmtId="0" fontId="51" fillId="0" borderId="10" applyAlignment="1" pivotButton="0" quotePrefix="0" xfId="0">
      <alignment horizontal="left" vertical="center"/>
    </xf>
    <xf numFmtId="164" fontId="18" fillId="0" borderId="1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46" fillId="0" borderId="0" pivotButton="0" quotePrefix="0" xfId="0"/>
    <xf numFmtId="0" fontId="46" fillId="0" borderId="0" applyAlignment="1" pivotButton="0" quotePrefix="0" xfId="0">
      <alignment horizontal="left" vertical="center"/>
    </xf>
    <xf numFmtId="164" fontId="47" fillId="0" borderId="0" pivotButton="0" quotePrefix="0" xfId="0"/>
    <xf numFmtId="164" fontId="46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58" fillId="0" borderId="9" applyAlignment="1" pivotButton="0" quotePrefix="0" xfId="0">
      <alignment horizontal="left" vertical="center" indent="1"/>
    </xf>
    <xf numFmtId="0" fontId="0" fillId="0" borderId="9" pivotButton="0" quotePrefix="0" xfId="0"/>
    <xf numFmtId="164" fontId="8" fillId="0" borderId="9" applyAlignment="1" pivotButton="0" quotePrefix="0" xfId="0">
      <alignment horizontal="right" vertical="center"/>
    </xf>
    <xf numFmtId="0" fontId="63" fillId="2" borderId="0" pivotButton="0" quotePrefix="0" xfId="0"/>
    <xf numFmtId="0" fontId="65" fillId="2" borderId="0" applyAlignment="1" pivotButton="0" quotePrefix="0" xfId="0">
      <alignment horizontal="right" vertical="center"/>
    </xf>
    <xf numFmtId="167" fontId="66" fillId="2" borderId="0" applyAlignment="1" pivotButton="0" quotePrefix="0" xfId="0">
      <alignment horizontal="right" vertical="center"/>
    </xf>
    <xf numFmtId="0" fontId="64" fillId="2" borderId="0" applyAlignment="1" pivotButton="0" quotePrefix="0" xfId="0">
      <alignment vertical="center"/>
    </xf>
    <xf numFmtId="0" fontId="66" fillId="2" borderId="0" applyAlignment="1" pivotButton="0" quotePrefix="0" xfId="0">
      <alignment horizontal="right" vertical="center"/>
    </xf>
    <xf numFmtId="0" fontId="0" fillId="6" borderId="0" pivotButton="0" quotePrefix="0" xfId="0"/>
    <xf numFmtId="0" fontId="67" fillId="3" borderId="8" applyAlignment="1" pivotButton="0" quotePrefix="0" xfId="0">
      <alignment horizontal="center" vertical="center"/>
    </xf>
    <xf numFmtId="0" fontId="93" fillId="3" borderId="8" applyAlignment="1" pivotButton="0" quotePrefix="0" xfId="0">
      <alignment horizontal="center" vertical="center"/>
    </xf>
    <xf numFmtId="164" fontId="79" fillId="3" borderId="9" applyAlignment="1" pivotButton="0" quotePrefix="0" xfId="0">
      <alignment horizontal="center" vertical="center"/>
    </xf>
    <xf numFmtId="164" fontId="80" fillId="3" borderId="9" applyAlignment="1" pivotButton="0" quotePrefix="0" xfId="0">
      <alignment horizontal="center" vertical="center"/>
    </xf>
    <xf numFmtId="164" fontId="81" fillId="3" borderId="9" applyAlignment="1" pivotButton="0" quotePrefix="0" xfId="0">
      <alignment horizontal="center" vertical="center"/>
    </xf>
    <xf numFmtId="164" fontId="82" fillId="3" borderId="9" applyAlignment="1" pivotButton="0" quotePrefix="0" xfId="0">
      <alignment horizontal="center" vertical="center"/>
    </xf>
    <xf numFmtId="0" fontId="66" fillId="2" borderId="0" applyAlignment="1" pivotButton="0" quotePrefix="0" xfId="0">
      <alignment horizontal="left" vertical="center"/>
    </xf>
    <xf numFmtId="0" fontId="69" fillId="3" borderId="0" applyAlignment="1" pivotButton="0" quotePrefix="0" xfId="0">
      <alignment horizontal="left" vertical="center"/>
    </xf>
    <xf numFmtId="0" fontId="69" fillId="3" borderId="0" applyAlignment="1" pivotButton="0" quotePrefix="0" xfId="0">
      <alignment horizontal="right" vertical="center"/>
    </xf>
    <xf numFmtId="0" fontId="70" fillId="0" borderId="2" applyAlignment="1" pivotButton="0" quotePrefix="0" xfId="0">
      <alignment horizontal="left" vertical="center"/>
    </xf>
    <xf numFmtId="164" fontId="71" fillId="0" borderId="2" applyAlignment="1" pivotButton="0" quotePrefix="0" xfId="0">
      <alignment horizontal="right" vertical="center"/>
    </xf>
    <xf numFmtId="164" fontId="72" fillId="0" borderId="2" applyAlignment="1" pivotButton="0" quotePrefix="0" xfId="0">
      <alignment horizontal="right" vertical="center"/>
    </xf>
    <xf numFmtId="164" fontId="73" fillId="0" borderId="2" applyAlignment="1" pivotButton="0" quotePrefix="0" xfId="0">
      <alignment horizontal="right" vertical="center"/>
    </xf>
    <xf numFmtId="164" fontId="74" fillId="0" borderId="2" applyAlignment="1" pivotButton="0" quotePrefix="0" xfId="0">
      <alignment horizontal="right" vertical="center"/>
    </xf>
    <xf numFmtId="164" fontId="75" fillId="0" borderId="2" applyAlignment="1" pivotButton="0" quotePrefix="0" xfId="0">
      <alignment horizontal="right" vertical="center"/>
    </xf>
    <xf numFmtId="0" fontId="76" fillId="0" borderId="10" applyAlignment="1" pivotButton="0" quotePrefix="0" xfId="0">
      <alignment horizontal="left" vertical="center"/>
    </xf>
    <xf numFmtId="164" fontId="75" fillId="0" borderId="10" applyAlignment="1" pivotButton="0" quotePrefix="0" xfId="0">
      <alignment horizontal="right" vertical="center"/>
    </xf>
    <xf numFmtId="0" fontId="77" fillId="0" borderId="0" applyAlignment="1" pivotButton="0" quotePrefix="0" xfId="0">
      <alignment horizontal="right" vertical="center"/>
    </xf>
    <xf numFmtId="164" fontId="78" fillId="0" borderId="6" applyAlignment="1" pivotButton="0" quotePrefix="0" xfId="0">
      <alignment horizontal="right" vertical="center"/>
    </xf>
    <xf numFmtId="0" fontId="83" fillId="0" borderId="2" applyAlignment="1" pivotButton="0" quotePrefix="0" xfId="0">
      <alignment horizontal="left" vertical="center"/>
    </xf>
    <xf numFmtId="0" fontId="84" fillId="0" borderId="2" applyAlignment="1" pivotButton="0" quotePrefix="0" xfId="0">
      <alignment horizontal="left" vertical="center" wrapText="1"/>
    </xf>
    <xf numFmtId="0" fontId="85" fillId="0" borderId="2" applyAlignment="1" pivotButton="0" quotePrefix="0" xfId="0">
      <alignment horizontal="left" vertical="center" indent="1"/>
    </xf>
    <xf numFmtId="0" fontId="74" fillId="0" borderId="2" applyAlignment="1" pivotButton="0" quotePrefix="0" xfId="0">
      <alignment horizontal="left" vertical="center"/>
    </xf>
    <xf numFmtId="164" fontId="86" fillId="0" borderId="2" applyAlignment="1" pivotButton="0" quotePrefix="0" xfId="0">
      <alignment horizontal="right" vertical="center"/>
    </xf>
    <xf numFmtId="0" fontId="87" fillId="0" borderId="3" applyAlignment="1" pivotButton="0" quotePrefix="0" xfId="0">
      <alignment horizontal="left" vertical="center"/>
    </xf>
    <xf numFmtId="0" fontId="88" fillId="0" borderId="3" applyAlignment="1" pivotButton="0" quotePrefix="0" xfId="0">
      <alignment horizontal="right" vertical="center"/>
    </xf>
    <xf numFmtId="164" fontId="89" fillId="0" borderId="3" applyAlignment="1" pivotButton="0" quotePrefix="0" xfId="0">
      <alignment horizontal="right" vertical="center"/>
    </xf>
    <xf numFmtId="164" fontId="90" fillId="0" borderId="2" applyAlignment="1" pivotButton="0" quotePrefix="0" xfId="0">
      <alignment horizontal="right" vertical="center"/>
    </xf>
    <xf numFmtId="164" fontId="91" fillId="0" borderId="3" applyAlignment="1" pivotButton="0" quotePrefix="0" xfId="0">
      <alignment horizontal="right" vertical="center"/>
    </xf>
    <xf numFmtId="0" fontId="84" fillId="0" borderId="8" applyAlignment="1" pivotButton="0" quotePrefix="0" xfId="0">
      <alignment horizontal="left" vertical="center" indent="1"/>
    </xf>
    <xf numFmtId="164" fontId="88" fillId="0" borderId="8" applyAlignment="1" pivotButton="0" quotePrefix="0" xfId="0">
      <alignment horizontal="right" vertical="center"/>
    </xf>
    <xf numFmtId="0" fontId="84" fillId="3" borderId="11" applyAlignment="1" pivotButton="0" quotePrefix="0" xfId="0">
      <alignment horizontal="left" vertical="center" indent="1"/>
    </xf>
    <xf numFmtId="164" fontId="88" fillId="3" borderId="11" applyAlignment="1" pivotButton="0" quotePrefix="0" xfId="0">
      <alignment horizontal="right" vertical="center"/>
    </xf>
    <xf numFmtId="0" fontId="84" fillId="0" borderId="11" applyAlignment="1" pivotButton="0" quotePrefix="0" xfId="0">
      <alignment horizontal="left" vertical="center" indent="1"/>
    </xf>
    <xf numFmtId="164" fontId="88" fillId="0" borderId="11" applyAlignment="1" pivotButton="0" quotePrefix="0" xfId="0">
      <alignment horizontal="right" vertical="center"/>
    </xf>
    <xf numFmtId="0" fontId="84" fillId="0" borderId="9" applyAlignment="1" pivotButton="0" quotePrefix="0" xfId="0">
      <alignment horizontal="left" vertical="center" indent="1"/>
    </xf>
    <xf numFmtId="164" fontId="88" fillId="0" borderId="9" applyAlignment="1" pivotButton="0" quotePrefix="0" xfId="0">
      <alignment horizontal="right" vertical="center"/>
    </xf>
    <xf numFmtId="0" fontId="92" fillId="0" borderId="0" applyAlignment="1" pivotButton="0" quotePrefix="0" xfId="0">
      <alignment horizontal="left" vertical="center" indent="1"/>
    </xf>
    <xf numFmtId="0" fontId="84" fillId="0" borderId="0" applyAlignment="1" pivotButton="0" quotePrefix="0" xfId="0">
      <alignment horizontal="left" vertical="top" wrapText="1"/>
    </xf>
    <xf numFmtId="0" fontId="94" fillId="0" borderId="0" applyAlignment="1" pivotButton="0" quotePrefix="0" xfId="0">
      <alignment horizontal="left" vertical="center"/>
    </xf>
    <xf numFmtId="0" fontId="113" fillId="2" borderId="0" pivotButton="0" quotePrefix="0" xfId="0"/>
    <xf numFmtId="0" fontId="114" fillId="2" borderId="0" applyAlignment="1" pivotButton="0" quotePrefix="0" xfId="0">
      <alignment horizontal="right" vertical="center"/>
    </xf>
    <xf numFmtId="166" fontId="97" fillId="2" borderId="0" applyAlignment="1" pivotButton="0" quotePrefix="0" xfId="0">
      <alignment horizontal="right" vertical="center"/>
    </xf>
    <xf numFmtId="0" fontId="98" fillId="2" borderId="0" applyAlignment="1" pivotButton="0" quotePrefix="0" xfId="0">
      <alignment horizontal="left" vertical="center"/>
    </xf>
    <xf numFmtId="0" fontId="97" fillId="2" borderId="0" applyAlignment="1" pivotButton="0" quotePrefix="0" xfId="0">
      <alignment horizontal="right" vertical="center"/>
    </xf>
    <xf numFmtId="0" fontId="77" fillId="3" borderId="0" applyAlignment="1" pivotButton="0" quotePrefix="0" xfId="0">
      <alignment horizontal="left" vertical="center"/>
    </xf>
    <xf numFmtId="0" fontId="77" fillId="3" borderId="0" applyAlignment="1" pivotButton="0" quotePrefix="0" xfId="0">
      <alignment horizontal="right" vertical="center"/>
    </xf>
    <xf numFmtId="0" fontId="75" fillId="3" borderId="1" applyAlignment="1" pivotButton="0" quotePrefix="0" xfId="0">
      <alignment horizontal="left" vertical="center"/>
    </xf>
    <xf numFmtId="164" fontId="92" fillId="3" borderId="1" applyAlignment="1" pivotButton="0" quotePrefix="0" xfId="0">
      <alignment horizontal="right" vertical="center"/>
    </xf>
    <xf numFmtId="164" fontId="99" fillId="3" borderId="1" applyAlignment="1" pivotButton="0" quotePrefix="0" xfId="0">
      <alignment horizontal="right" vertical="center"/>
    </xf>
    <xf numFmtId="164" fontId="75" fillId="3" borderId="1" applyAlignment="1" pivotButton="0" quotePrefix="0" xfId="0">
      <alignment horizontal="right" vertical="center"/>
    </xf>
    <xf numFmtId="164" fontId="100" fillId="3" borderId="1" applyAlignment="1" pivotButton="0" quotePrefix="0" xfId="0">
      <alignment horizontal="right" vertical="center"/>
    </xf>
    <xf numFmtId="0" fontId="115" fillId="2" borderId="0" applyAlignment="1" pivotButton="0" quotePrefix="0" xfId="0">
      <alignment horizontal="right" vertical="center"/>
    </xf>
    <xf numFmtId="0" fontId="102" fillId="3" borderId="0" applyAlignment="1" pivotButton="0" quotePrefix="0" xfId="0">
      <alignment horizontal="left" vertical="center"/>
    </xf>
    <xf numFmtId="0" fontId="102" fillId="3" borderId="0" applyAlignment="1" pivotButton="0" quotePrefix="0" xfId="0">
      <alignment horizontal="right" vertical="center"/>
    </xf>
    <xf numFmtId="0" fontId="87" fillId="0" borderId="2" applyAlignment="1" pivotButton="0" quotePrefix="0" xfId="0">
      <alignment horizontal="left" vertical="center"/>
    </xf>
    <xf numFmtId="0" fontId="85" fillId="0" borderId="7" applyAlignment="1" pivotButton="0" quotePrefix="0" xfId="0">
      <alignment horizontal="left" vertical="center"/>
    </xf>
    <xf numFmtId="164" fontId="78" fillId="0" borderId="2" applyAlignment="1" pivotButton="0" quotePrefix="0" xfId="0">
      <alignment horizontal="right" vertical="center"/>
    </xf>
    <xf numFmtId="164" fontId="103" fillId="0" borderId="2" applyAlignment="1" pivotButton="0" quotePrefix="0" xfId="0">
      <alignment horizontal="right" vertical="center"/>
    </xf>
    <xf numFmtId="164" fontId="104" fillId="0" borderId="2" applyAlignment="1" pivotButton="0" quotePrefix="0" xfId="0">
      <alignment horizontal="right" vertical="center"/>
    </xf>
    <xf numFmtId="0" fontId="105" fillId="0" borderId="0" applyAlignment="1" pivotButton="0" quotePrefix="0" xfId="0">
      <alignment horizontal="left" vertical="center"/>
    </xf>
    <xf numFmtId="0" fontId="66" fillId="4" borderId="0" applyAlignment="1" pivotButton="0" quotePrefix="0" xfId="0">
      <alignment horizontal="left" vertical="center"/>
    </xf>
    <xf numFmtId="0" fontId="115" fillId="4" borderId="0" applyAlignment="1" pivotButton="0" quotePrefix="0" xfId="0">
      <alignment horizontal="right" vertical="center"/>
    </xf>
    <xf numFmtId="166" fontId="106" fillId="0" borderId="2" applyAlignment="1" pivotButton="0" quotePrefix="0" xfId="0">
      <alignment horizontal="left" vertical="center"/>
    </xf>
    <xf numFmtId="0" fontId="107" fillId="0" borderId="2" applyAlignment="1" pivotButton="0" quotePrefix="0" xfId="0">
      <alignment horizontal="left" vertical="center"/>
    </xf>
    <xf numFmtId="0" fontId="106" fillId="0" borderId="7" applyAlignment="1" pivotButton="0" quotePrefix="0" xfId="0">
      <alignment horizontal="left" vertical="center" wrapText="1"/>
    </xf>
    <xf numFmtId="0" fontId="101" fillId="0" borderId="2" applyAlignment="1" pivotButton="0" quotePrefix="0" xfId="0">
      <alignment horizontal="left" vertical="center" wrapText="1"/>
    </xf>
    <xf numFmtId="164" fontId="108" fillId="0" borderId="2" applyAlignment="1" pivotButton="0" quotePrefix="0" xfId="0">
      <alignment horizontal="right" vertical="center"/>
    </xf>
    <xf numFmtId="0" fontId="109" fillId="0" borderId="7" applyAlignment="1" pivotButton="0" quotePrefix="0" xfId="0">
      <alignment horizontal="left" vertical="center" wrapText="1"/>
    </xf>
    <xf numFmtId="164" fontId="110" fillId="0" borderId="2" applyAlignment="1" pivotButton="0" quotePrefix="0" xfId="0">
      <alignment horizontal="right" vertical="center"/>
    </xf>
    <xf numFmtId="0" fontId="101" fillId="0" borderId="3" applyAlignment="1" pivotButton="0" quotePrefix="0" xfId="0">
      <alignment horizontal="left" vertical="center"/>
    </xf>
    <xf numFmtId="0" fontId="108" fillId="0" borderId="3" applyAlignment="1" pivotButton="0" quotePrefix="0" xfId="0">
      <alignment horizontal="right" vertical="center"/>
    </xf>
    <xf numFmtId="164" fontId="86" fillId="0" borderId="3" applyAlignment="1" pivotButton="0" quotePrefix="0" xfId="0">
      <alignment horizontal="right" vertical="center"/>
    </xf>
    <xf numFmtId="0" fontId="66" fillId="5" borderId="0" applyAlignment="1" pivotButton="0" quotePrefix="0" xfId="0">
      <alignment horizontal="left" vertical="center"/>
    </xf>
    <xf numFmtId="0" fontId="115" fillId="5" borderId="0" applyAlignment="1" pivotButton="0" quotePrefix="0" xfId="0">
      <alignment horizontal="right" vertical="center"/>
    </xf>
    <xf numFmtId="0" fontId="106" fillId="0" borderId="2" applyAlignment="1" pivotButton="0" quotePrefix="0" xfId="0">
      <alignment horizontal="left" vertical="center" wrapText="1"/>
    </xf>
    <xf numFmtId="0" fontId="101" fillId="0" borderId="2" applyAlignment="1" pivotButton="0" quotePrefix="0" xfId="0">
      <alignment horizontal="left" vertical="center"/>
    </xf>
    <xf numFmtId="164" fontId="90" fillId="0" borderId="3" applyAlignment="1" pivotButton="0" quotePrefix="0" xfId="0">
      <alignment horizontal="right" vertical="center"/>
    </xf>
    <xf numFmtId="164" fontId="88" fillId="0" borderId="3" applyAlignment="1" pivotButton="0" quotePrefix="0" xfId="0">
      <alignment horizontal="right" vertical="center"/>
    </xf>
    <xf numFmtId="0" fontId="106" fillId="0" borderId="7" applyAlignment="1" pivotButton="0" quotePrefix="0" xfId="0">
      <alignment horizontal="left" vertical="center"/>
    </xf>
    <xf numFmtId="0" fontId="77" fillId="0" borderId="2" applyAlignment="1" pivotButton="0" quotePrefix="0" xfId="0">
      <alignment horizontal="left" vertical="center"/>
    </xf>
    <xf numFmtId="0" fontId="111" fillId="0" borderId="2" applyAlignment="1" pivotButton="0" quotePrefix="0" xfId="0">
      <alignment horizontal="right" vertical="center"/>
    </xf>
    <xf numFmtId="0" fontId="69" fillId="0" borderId="0" applyAlignment="1" pivotButton="0" quotePrefix="0" xfId="0">
      <alignment horizontal="left" vertical="center"/>
    </xf>
    <xf numFmtId="0" fontId="106" fillId="0" borderId="0" applyAlignment="1" pivotButton="0" quotePrefix="0" xfId="0">
      <alignment vertical="top" wrapText="1"/>
    </xf>
    <xf numFmtId="0" fontId="77" fillId="0" borderId="3" applyAlignment="1" pivotButton="0" quotePrefix="0" xfId="0">
      <alignment horizontal="left" vertical="center"/>
    </xf>
    <xf numFmtId="0" fontId="112" fillId="0" borderId="0" applyAlignment="1" pivotButton="0" quotePrefix="0" xfId="0">
      <alignment horizontal="left" vertical="center"/>
    </xf>
    <xf numFmtId="0" fontId="0" fillId="0" borderId="19" pivotButton="0" quotePrefix="0" xfId="0"/>
    <xf numFmtId="0" fontId="98" fillId="2" borderId="0" pivotButton="0" quotePrefix="0" xfId="0"/>
    <xf numFmtId="0" fontId="77" fillId="3" borderId="0" pivotButton="0" quotePrefix="0" xfId="0"/>
    <xf numFmtId="0" fontId="117" fillId="3" borderId="0" pivotButton="0" quotePrefix="0" xfId="0"/>
    <xf numFmtId="164" fontId="118" fillId="3" borderId="0" pivotButton="0" quotePrefix="0" xfId="0"/>
    <xf numFmtId="164" fontId="119" fillId="3" borderId="0" pivotButton="0" quotePrefix="0" xfId="0"/>
    <xf numFmtId="164" fontId="100" fillId="3" borderId="0" pivotButton="0" quotePrefix="0" xfId="0"/>
    <xf numFmtId="0" fontId="87" fillId="0" borderId="2" pivotButton="0" quotePrefix="0" xfId="0"/>
    <xf numFmtId="0" fontId="85" fillId="0" borderId="2" pivotButton="0" quotePrefix="0" xfId="0"/>
    <xf numFmtId="166" fontId="103" fillId="0" borderId="2" pivotButton="0" quotePrefix="0" xfId="0"/>
    <xf numFmtId="0" fontId="120" fillId="0" borderId="2" pivotButton="0" quotePrefix="0" xfId="0"/>
    <xf numFmtId="0" fontId="103" fillId="0" borderId="2" applyAlignment="1" pivotButton="0" quotePrefix="0" xfId="0">
      <alignment horizontal="left" vertical="center"/>
    </xf>
    <xf numFmtId="164" fontId="121" fillId="0" borderId="2" applyAlignment="1" pivotButton="0" quotePrefix="0" xfId="0">
      <alignment horizontal="right" vertical="center"/>
    </xf>
    <xf numFmtId="0" fontId="76" fillId="0" borderId="3" applyAlignment="1" pivotButton="0" quotePrefix="0" xfId="0">
      <alignment horizontal="right" vertical="center"/>
    </xf>
    <xf numFmtId="164" fontId="122" fillId="0" borderId="3" applyAlignment="1" pivotButton="0" quotePrefix="0" xfId="0">
      <alignment horizontal="right" vertical="center"/>
    </xf>
    <xf numFmtId="0" fontId="87" fillId="0" borderId="0" pivotButton="0" quotePrefix="0" xfId="0"/>
    <xf numFmtId="0" fontId="85" fillId="0" borderId="0" applyAlignment="1" pivotButton="0" quotePrefix="0" xfId="0">
      <alignment horizontal="left" vertical="center"/>
    </xf>
    <xf numFmtId="0" fontId="87" fillId="0" borderId="0" applyAlignment="1" pivotButton="0" quotePrefix="0" xfId="0">
      <alignment horizontal="left" vertical="center"/>
    </xf>
    <xf numFmtId="0" fontId="123" fillId="0" borderId="0" applyAlignment="1" pivotButton="0" quotePrefix="0" xfId="0">
      <alignment horizontal="right" vertical="center"/>
    </xf>
    <xf numFmtId="0" fontId="67" fillId="0" borderId="0" pivotButton="0" quotePrefix="0" xfId="0"/>
    <xf numFmtId="0" fontId="85" fillId="0" borderId="0" applyAlignment="1" pivotButton="0" quotePrefix="0" xfId="0">
      <alignment vertical="top" wrapText="1"/>
    </xf>
    <xf numFmtId="0" fontId="87" fillId="0" borderId="3" pivotButton="0" quotePrefix="0" xfId="0"/>
    <xf numFmtId="0" fontId="94" fillId="0" borderId="0" pivotButton="0" quotePrefix="0" xfId="0"/>
    <xf numFmtId="0" fontId="85" fillId="0" borderId="0" applyAlignment="1" pivotButton="0" quotePrefix="0" xfId="0">
      <alignment horizontal="left" vertical="top" wrapText="1"/>
    </xf>
    <xf numFmtId="0" fontId="93" fillId="3" borderId="18" applyAlignment="1" pivotButton="0" quotePrefix="0" xfId="0">
      <alignment horizontal="center" vertical="center"/>
    </xf>
    <xf numFmtId="0" fontId="85" fillId="0" borderId="7" applyAlignment="1" pivotButton="0" quotePrefix="0" xfId="0">
      <alignment horizontal="left" vertical="center" indent="1"/>
    </xf>
    <xf numFmtId="0" fontId="84" fillId="0" borderId="18" applyAlignment="1" pivotButton="0" quotePrefix="0" xfId="0">
      <alignment horizontal="left" vertical="center" indent="1"/>
    </xf>
    <xf numFmtId="164" fontId="88" fillId="0" borderId="18" applyAlignment="1" pivotButton="0" quotePrefix="0" xfId="0">
      <alignment horizontal="right" vertical="center"/>
    </xf>
    <xf numFmtId="0" fontId="84" fillId="3" borderId="17" applyAlignment="1" pivotButton="0" quotePrefix="0" xfId="0">
      <alignment horizontal="left" vertical="center" indent="1"/>
    </xf>
    <xf numFmtId="164" fontId="88" fillId="3" borderId="17" applyAlignment="1" pivotButton="0" quotePrefix="0" xfId="0">
      <alignment horizontal="right" vertical="center"/>
    </xf>
    <xf numFmtId="0" fontId="84" fillId="0" borderId="17" applyAlignment="1" pivotButton="0" quotePrefix="0" xfId="0">
      <alignment horizontal="left" vertical="center" indent="1"/>
    </xf>
    <xf numFmtId="164" fontId="88" fillId="0" borderId="17" applyAlignment="1" pivotButton="0" quotePrefix="0" xfId="0">
      <alignment horizontal="right" vertical="center"/>
    </xf>
    <xf numFmtId="0" fontId="116" fillId="0" borderId="0" pivotButton="0" quotePrefix="0" xfId="0"/>
  </cellXfs>
  <cellStyles count="1">
    <cellStyle name="Normal" xfId="0" builtinId="0" hidden="0"/>
  </cellStyles>
  <dxfs count="12">
    <dxf>
      <font>
        <b val="1"/>
        <color rgb="0015803D"/>
      </font>
    </dxf>
    <dxf>
      <font>
        <b val="1"/>
        <color rgb="00B45309"/>
      </font>
      <fill>
        <patternFill patternType="solid">
          <fgColor rgb="00FFFBEB"/>
        </patternFill>
      </fill>
    </dxf>
    <dxf>
      <font>
        <b val="1"/>
        <color rgb="00B91C1C"/>
      </font>
      <fill>
        <patternFill patternType="solid">
          <fgColor rgb="00FEF2F2"/>
        </patternFill>
      </fill>
    </dxf>
    <dxf>
      <font>
        <b val="1"/>
        <color rgb="0015803D"/>
      </font>
      <fill>
        <patternFill patternType="solid">
          <fgColor rgb="00ECFDF3"/>
        </patternFill>
      </fill>
    </dxf>
    <dxf>
      <font>
        <b val="1"/>
        <color rgb="00B91C1C"/>
      </font>
    </dxf>
    <dxf>
      <font>
        <name val="Arial"/>
        <b val="1"/>
        <color rgb="0015803D"/>
        <sz val="10"/>
      </font>
      <fill>
        <patternFill patternType="solid">
          <fgColor rgb="00ECFDF3"/>
        </patternFill>
      </fill>
    </dxf>
    <dxf>
      <font>
        <name val="Arial"/>
        <b val="1"/>
        <color rgb="00B91C1C"/>
        <sz val="10"/>
      </font>
      <fill>
        <patternFill patternType="solid">
          <fgColor rgb="00FEF2F2"/>
        </patternFill>
      </fill>
    </dxf>
    <dxf>
      <font>
        <name val="Arial"/>
        <b val="1"/>
        <color rgb="00B91C1C"/>
        <sz val="13"/>
      </font>
    </dxf>
    <dxf>
      <font>
        <name val="Calibri"/>
        <b val="1"/>
        <color rgb="0015803D"/>
        <sz val="10"/>
      </font>
      <fill>
        <patternFill patternType="solid">
          <fgColor rgb="00ECFDF3"/>
        </patternFill>
      </fill>
    </dxf>
    <dxf>
      <font>
        <name val="Calibri"/>
        <b val="1"/>
        <color rgb="00B91C1C"/>
        <sz val="10"/>
      </font>
      <fill>
        <patternFill patternType="solid">
          <fgColor rgb="00FEF2F2"/>
        </patternFill>
      </fill>
    </dxf>
    <dxf>
      <font>
        <name val="Calibri"/>
        <b val="1"/>
        <color rgb="00B91C1C"/>
        <sz val="13"/>
      </font>
    </dxf>
    <dxf>
      <font>
        <name val="Calibri"/>
        <b val="1"/>
        <color rgb="00B91C1C"/>
        <sz val="8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2" customWidth="1" min="1" max="1"/>
    <col width="9.5" customWidth="1" min="2" max="2"/>
    <col width="8.5" customWidth="1" min="3" max="3"/>
    <col width="40" customWidth="1" min="4" max="4"/>
    <col width="23" customWidth="1" min="5" max="5"/>
    <col width="13" customWidth="1" min="6" max="6"/>
    <col width="14" customWidth="1" min="7" max="7"/>
    <col width="13" customWidth="1" min="8" max="8"/>
    <col width="1.2" customWidth="1" min="9" max="9"/>
    <col hidden="1" width="13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>
      <c r="A2" s="1" t="n"/>
      <c r="B2" s="207" t="inlineStr">
        <is>
          <t>FOURTEEN GROUP OF COMPANIES  ·  AWAMI MARKET, KARKHANO, PESHAWAR</t>
        </is>
      </c>
      <c r="C2" s="1" t="n"/>
      <c r="D2" s="1" t="n"/>
      <c r="E2" s="1" t="n"/>
      <c r="F2" s="1" t="n"/>
      <c r="G2" s="208" t="inlineStr">
        <is>
          <t>Closing date</t>
        </is>
      </c>
      <c r="H2" s="209" t="n">
        <v>46280</v>
      </c>
      <c r="I2" s="1" t="n"/>
    </row>
    <row r="3" ht="24" customHeight="1">
      <c r="A3" s="1" t="n"/>
      <c r="B3" s="254" t="inlineStr">
        <is>
          <t>Closing — Rashid's Software, CRM &amp; Salary</t>
        </is>
      </c>
      <c r="C3" s="1" t="n"/>
      <c r="D3" s="1" t="n"/>
      <c r="E3" s="1" t="n"/>
      <c r="F3" s="1" t="n"/>
      <c r="G3" s="208" t="inlineStr">
        <is>
          <t>Entries</t>
        </is>
      </c>
      <c r="H3" s="211" t="inlineStr">
        <is>
          <t>7 JVs · 14 lines</t>
        </is>
      </c>
      <c r="I3" s="1" t="n"/>
    </row>
    <row r="4" ht="6" customHeight="1">
      <c r="A4" s="166" t="n"/>
      <c r="B4" s="166" t="n"/>
      <c r="C4" s="166" t="n"/>
      <c r="D4" s="166" t="n"/>
      <c r="E4" s="166" t="n"/>
      <c r="F4" s="166" t="n"/>
      <c r="G4" s="166" t="n"/>
      <c r="H4" s="166" t="n"/>
      <c r="I4" s="166" t="n"/>
    </row>
    <row r="5">
      <c r="B5" s="255" t="inlineStr">
        <is>
          <t>Period</t>
        </is>
      </c>
      <c r="C5" s="6" t="n"/>
      <c r="D5" s="255" t="inlineStr">
        <is>
          <t>From – to</t>
        </is>
      </c>
      <c r="E5" s="255" t="inlineStr">
        <is>
          <t>Software &amp; CRM</t>
        </is>
      </c>
      <c r="F5" s="255" t="inlineStr">
        <is>
          <t>Salary</t>
        </is>
      </c>
      <c r="G5" s="255" t="inlineStr">
        <is>
          <t>Total paid</t>
        </is>
      </c>
      <c r="H5" s="255" t="inlineStr">
        <is>
          <t>Owed to FMH + KBH</t>
        </is>
      </c>
    </row>
    <row r="6">
      <c r="B6" s="256" t="inlineStr">
        <is>
          <t>43 days</t>
        </is>
      </c>
      <c r="C6" s="6" t="n"/>
      <c r="D6" s="256" t="inlineStr">
        <is>
          <t>24-Apr-26  →  05-Jun-26</t>
        </is>
      </c>
      <c r="E6" s="257">
        <f>H27</f>
        <v/>
      </c>
      <c r="F6" s="257">
        <f>H28</f>
        <v/>
      </c>
      <c r="G6" s="258">
        <f>H22</f>
        <v/>
      </c>
      <c r="H6" s="259">
        <f>-(H10+H11)</f>
        <v/>
      </c>
    </row>
    <row r="8" ht="18" customHeight="1">
      <c r="A8" s="166" t="n"/>
      <c r="B8" s="173" t="inlineStr">
        <is>
          <t>Balances brought forward and closing</t>
        </is>
      </c>
      <c r="C8" s="1" t="n"/>
      <c r="D8" s="1" t="n"/>
      <c r="E8" s="1" t="n"/>
      <c r="F8" s="1" t="n"/>
      <c r="G8" s="1" t="n"/>
      <c r="H8" s="219" t="inlineStr">
        <is>
          <t>Amounts in brackets are what Awami owes</t>
        </is>
      </c>
    </row>
    <row r="9">
      <c r="B9" s="255" t="inlineStr">
        <is>
          <t>Code</t>
        </is>
      </c>
      <c r="C9" s="255" t="inlineStr">
        <is>
          <t>Account</t>
        </is>
      </c>
      <c r="D9" s="6" t="n"/>
      <c r="E9" s="213" t="inlineStr">
        <is>
          <t>Opening b/f</t>
        </is>
      </c>
      <c r="F9" s="213" t="inlineStr">
        <is>
          <t>Debit</t>
        </is>
      </c>
      <c r="G9" s="213" t="inlineStr">
        <is>
          <t>Credit</t>
        </is>
      </c>
      <c r="H9" s="213" t="inlineStr">
        <is>
          <t>Closing</t>
        </is>
      </c>
    </row>
    <row r="10">
      <c r="B10" s="260" t="n">
        <v>22100</v>
      </c>
      <c r="C10" s="261" t="inlineStr">
        <is>
          <t>FMH - Fourteen Manzil Heights</t>
        </is>
      </c>
      <c r="D10" s="21" t="n"/>
      <c r="E10" s="224" t="n">
        <v>0</v>
      </c>
      <c r="F10" s="225">
        <f>SUMIFS(Entries!$G$2:$G$155,Entries!$C$2:$C$155,"Due to / from Group Companies:FMH - Fourteen Manzil Heights",Entries!$J$2:$J$155,"15-Sep")</f>
        <v/>
      </c>
      <c r="G10" s="225">
        <f>SUMIFS(Entries!$H$2:$H$155,Entries!$C$2:$C$155,"Due to / from Group Companies:FMH - Fourteen Manzil Heights",Entries!$J$2:$J$155,"15-Sep")</f>
        <v/>
      </c>
      <c r="H10" s="226">
        <f>E10+F10-G10</f>
        <v/>
      </c>
    </row>
    <row r="11">
      <c r="B11" s="260" t="n">
        <v>22200</v>
      </c>
      <c r="C11" s="261" t="inlineStr">
        <is>
          <t>KBH - Khushal Bagh Heights</t>
        </is>
      </c>
      <c r="D11" s="21" t="n"/>
      <c r="E11" s="224" t="n">
        <v>0</v>
      </c>
      <c r="F11" s="225">
        <f>SUMIFS(Entries!$G$2:$G$155,Entries!$C$2:$C$155,"Due to / from Group Companies:KBH - Khushal Bagh Heights",Entries!$J$2:$J$155,"15-Sep")</f>
        <v/>
      </c>
      <c r="G11" s="225">
        <f>SUMIFS(Entries!$H$2:$H$155,Entries!$C$2:$C$155,"Due to / from Group Companies:KBH - Khushal Bagh Heights",Entries!$J$2:$J$155,"15-Sep")</f>
        <v/>
      </c>
      <c r="H11" s="226">
        <f>E11+F11-G11</f>
        <v/>
      </c>
    </row>
    <row r="13" ht="18" customHeight="1">
      <c r="A13" s="166" t="n"/>
      <c r="B13" s="173" t="inlineStr">
        <is>
          <t>Payments made on Awami's behalf</t>
        </is>
      </c>
      <c r="C13" s="1" t="n"/>
      <c r="D13" s="1" t="n"/>
      <c r="E13" s="1" t="n"/>
      <c r="F13" s="1" t="n"/>
      <c r="G13" s="1" t="n"/>
      <c r="H13" s="219" t="inlineStr">
        <is>
          <t>Paid by FMH or KBH · no Awami cash or bank used</t>
        </is>
      </c>
    </row>
    <row r="14">
      <c r="B14" s="174" t="inlineStr">
        <is>
          <t>Date</t>
        </is>
      </c>
      <c r="C14" s="174" t="inlineStr">
        <is>
          <t>Voucher</t>
        </is>
      </c>
      <c r="D14" s="174" t="inlineStr">
        <is>
          <t>Description</t>
        </is>
      </c>
      <c r="E14" s="174" t="inlineStr">
        <is>
          <t>Head (COA)</t>
        </is>
      </c>
      <c r="F14" s="174" t="inlineStr">
        <is>
          <t>Payee</t>
        </is>
      </c>
      <c r="G14" s="174" t="inlineStr">
        <is>
          <t>Paid through</t>
        </is>
      </c>
      <c r="H14" s="175" t="inlineStr">
        <is>
          <t>Amount</t>
        </is>
      </c>
    </row>
    <row r="15">
      <c r="B15" s="262" t="n">
        <v>46136</v>
      </c>
      <c r="C15" s="263" t="inlineStr">
        <is>
          <t>JV-0025</t>
        </is>
      </c>
      <c r="D15" s="264" t="inlineStr">
        <is>
          <t>Paid for laptop c/o Rashid</t>
        </is>
      </c>
      <c r="E15" s="264" t="inlineStr">
        <is>
          <t>15300 · Computer &amp; IT Equipment</t>
        </is>
      </c>
      <c r="F15" s="264" t="inlineStr">
        <is>
          <t>Rashid</t>
        </is>
      </c>
      <c r="G15" s="264" t="inlineStr">
        <is>
          <t>FMH</t>
        </is>
      </c>
      <c r="H15" s="265" t="n">
        <v>95000</v>
      </c>
    </row>
    <row r="16">
      <c r="B16" s="262" t="n">
        <v>46147</v>
      </c>
      <c r="C16" s="263" t="inlineStr">
        <is>
          <t>JV-0029</t>
        </is>
      </c>
      <c r="D16" s="264" t="inlineStr">
        <is>
          <t>Paid to Rashid as salary April 2026</t>
        </is>
      </c>
      <c r="E16" s="264" t="inlineStr">
        <is>
          <t>70100 · Salaries &amp; Wages</t>
        </is>
      </c>
      <c r="F16" s="264" t="inlineStr">
        <is>
          <t>Rashid</t>
        </is>
      </c>
      <c r="G16" s="264" t="inlineStr">
        <is>
          <t>FMH</t>
        </is>
      </c>
      <c r="H16" s="265" t="n">
        <v>50000</v>
      </c>
    </row>
    <row r="17">
      <c r="B17" s="262" t="n">
        <v>46164</v>
      </c>
      <c r="C17" s="263" t="inlineStr">
        <is>
          <t>JV-0052</t>
        </is>
      </c>
      <c r="D17" s="264" t="inlineStr">
        <is>
          <t>Paid to Rashid Mansoor for CRM software - KBH ref CPV-8199</t>
        </is>
      </c>
      <c r="E17" s="264" t="inlineStr">
        <is>
          <t>16100 · Software &amp; Licences</t>
        </is>
      </c>
      <c r="F17" s="264" t="inlineStr">
        <is>
          <t>Rashid</t>
        </is>
      </c>
      <c r="G17" s="264" t="inlineStr">
        <is>
          <t>KBH</t>
        </is>
      </c>
      <c r="H17" s="265" t="n">
        <v>8000</v>
      </c>
    </row>
    <row r="18">
      <c r="B18" s="262" t="n">
        <v>46165</v>
      </c>
      <c r="C18" s="263" t="inlineStr">
        <is>
          <t>JV-0053</t>
        </is>
      </c>
      <c r="D18" s="264" t="inlineStr">
        <is>
          <t>Paid to Rashid Mansoor for QuickBooks - KBH ref CPV-8219</t>
        </is>
      </c>
      <c r="E18" s="264" t="inlineStr">
        <is>
          <t>16100 · Software &amp; Licences</t>
        </is>
      </c>
      <c r="F18" s="264" t="inlineStr">
        <is>
          <t>Rashid</t>
        </is>
      </c>
      <c r="G18" s="264" t="inlineStr">
        <is>
          <t>KBH</t>
        </is>
      </c>
      <c r="H18" s="265" t="n">
        <v>100000</v>
      </c>
    </row>
    <row r="19">
      <c r="B19" s="262" t="n">
        <v>46167</v>
      </c>
      <c r="C19" s="263" t="inlineStr">
        <is>
          <t>JV-0054</t>
        </is>
      </c>
      <c r="D19" s="264" t="inlineStr">
        <is>
          <t>Paid to Rashid Mansoor for QuickBooks - KBH ref CPV-8222</t>
        </is>
      </c>
      <c r="E19" s="264" t="inlineStr">
        <is>
          <t>16100 · Software &amp; Licences</t>
        </is>
      </c>
      <c r="F19" s="264" t="inlineStr">
        <is>
          <t>Rashid</t>
        </is>
      </c>
      <c r="G19" s="264" t="inlineStr">
        <is>
          <t>KBH</t>
        </is>
      </c>
      <c r="H19" s="265" t="n">
        <v>200000</v>
      </c>
    </row>
    <row r="20">
      <c r="B20" s="262" t="n">
        <v>46175</v>
      </c>
      <c r="C20" s="263" t="inlineStr">
        <is>
          <t>JV-0032</t>
        </is>
      </c>
      <c r="D20" s="264" t="inlineStr">
        <is>
          <t>Paid to Rashid saib for QuickBooks software</t>
        </is>
      </c>
      <c r="E20" s="264" t="inlineStr">
        <is>
          <t>16100 · Software &amp; Licences</t>
        </is>
      </c>
      <c r="F20" s="264" t="inlineStr">
        <is>
          <t>Rashid</t>
        </is>
      </c>
      <c r="G20" s="264" t="inlineStr">
        <is>
          <t>FMH</t>
        </is>
      </c>
      <c r="H20" s="265" t="n">
        <v>80000</v>
      </c>
    </row>
    <row r="21">
      <c r="B21" s="262" t="n">
        <v>46178</v>
      </c>
      <c r="C21" s="263" t="inlineStr">
        <is>
          <t>JV-0030</t>
        </is>
      </c>
      <c r="D21" s="264" t="inlineStr">
        <is>
          <t>Paid to Rashid for QuickBooks</t>
        </is>
      </c>
      <c r="E21" s="264" t="inlineStr">
        <is>
          <t>16100 · Software &amp; Licences</t>
        </is>
      </c>
      <c r="F21" s="264" t="inlineStr">
        <is>
          <t>Rashid</t>
        </is>
      </c>
      <c r="G21" s="264" t="inlineStr">
        <is>
          <t>FMH</t>
        </is>
      </c>
      <c r="H21" s="265" t="n">
        <v>100000</v>
      </c>
    </row>
    <row r="22">
      <c r="B22" s="191">
        <f>"FMH "&amp;TEXT(SUMIFS(H15:H21,G15:G21,"FMH"),"#,##0")&amp;"   ·   KBH "&amp;TEXT(SUMIFS(H15:H21,G15:G21,"KBH"),"#,##0")</f>
        <v/>
      </c>
      <c r="C22" s="35" t="n"/>
      <c r="D22" s="35" t="n"/>
      <c r="E22" s="35" t="n"/>
      <c r="F22" s="35" t="n"/>
      <c r="G22" s="192" t="inlineStr">
        <is>
          <t>Total paid</t>
        </is>
      </c>
      <c r="H22" s="195">
        <f>SUM(H15:H21)</f>
        <v/>
      </c>
    </row>
    <row r="24" ht="18" customHeight="1">
      <c r="A24" s="166" t="n"/>
      <c r="B24" s="173" t="inlineStr">
        <is>
          <t>Summary by head</t>
        </is>
      </c>
      <c r="C24" s="1" t="n"/>
      <c r="D24" s="1" t="n"/>
      <c r="E24" s="1" t="n"/>
      <c r="F24" s="1" t="n"/>
      <c r="G24" s="1" t="n"/>
      <c r="H24" s="219" t="inlineStr">
        <is>
          <t>Expenses and assets charged</t>
        </is>
      </c>
    </row>
    <row r="25">
      <c r="B25" s="255" t="inlineStr">
        <is>
          <t>Code</t>
        </is>
      </c>
      <c r="C25" s="255" t="inlineStr">
        <is>
          <t>Head</t>
        </is>
      </c>
      <c r="D25" s="6" t="n"/>
      <c r="E25" s="6" t="n"/>
      <c r="F25" s="6" t="n"/>
      <c r="G25" s="6" t="n"/>
      <c r="H25" s="213" t="inlineStr">
        <is>
          <t>Amount</t>
        </is>
      </c>
    </row>
    <row r="26">
      <c r="B26" s="260" t="n">
        <v>15300</v>
      </c>
      <c r="C26" s="261" t="inlineStr">
        <is>
          <t>Computer &amp; IT Equipment</t>
        </is>
      </c>
      <c r="D26" s="21" t="n"/>
      <c r="E26" s="21" t="n"/>
      <c r="F26" s="21" t="n"/>
      <c r="G26" s="21" t="n"/>
      <c r="H26" s="225">
        <f>SUMIFS(Entries!$G$2:$G$155,Entries!$C$2:$C$155,"Fixed Assets:Computer &amp; IT Equipment",Entries!$J$2:$J$155,"15-Sep")-SUMIFS(Entries!$H$2:$H$155,Entries!$C$2:$C$155,"Fixed Assets:Computer &amp; IT Equipment",Entries!$J$2:$J$155,"15-Sep")</f>
        <v/>
      </c>
    </row>
    <row r="27">
      <c r="B27" s="260" t="n">
        <v>16100</v>
      </c>
      <c r="C27" s="261" t="inlineStr">
        <is>
          <t>Software &amp; Licences</t>
        </is>
      </c>
      <c r="D27" s="21" t="n"/>
      <c r="E27" s="21" t="n"/>
      <c r="F27" s="21" t="n"/>
      <c r="G27" s="21" t="n"/>
      <c r="H27" s="225">
        <f>SUMIFS(Entries!$G$2:$G$155,Entries!$C$2:$C$155,"Other Assets:Software &amp; Licences",Entries!$J$2:$J$155,"15-Sep")-SUMIFS(Entries!$H$2:$H$155,Entries!$C$2:$C$155,"Other Assets:Software &amp; Licences",Entries!$J$2:$J$155,"15-Sep")</f>
        <v/>
      </c>
    </row>
    <row r="28">
      <c r="B28" s="260" t="n">
        <v>70100</v>
      </c>
      <c r="C28" s="261" t="inlineStr">
        <is>
          <t>Salaries &amp; Wages</t>
        </is>
      </c>
      <c r="D28" s="21" t="n"/>
      <c r="E28" s="21" t="n"/>
      <c r="F28" s="21" t="n"/>
      <c r="G28" s="21" t="n"/>
      <c r="H28" s="225">
        <f>SUMIFS(Entries!$G$2:$G$155,Entries!$C$2:$C$155,"Administrative Expenses:Salaries &amp; Wages",Entries!$J$2:$J$155,"15-Sep")-SUMIFS(Entries!$H$2:$H$155,Entries!$C$2:$C$155,"Administrative Expenses:Salaries &amp; Wages",Entries!$J$2:$J$155,"15-Sep")</f>
        <v/>
      </c>
    </row>
    <row r="29">
      <c r="B29" s="35" t="n"/>
      <c r="C29" s="35" t="n"/>
      <c r="D29" s="35" t="n"/>
      <c r="E29" s="35" t="n"/>
      <c r="F29" s="35" t="n"/>
      <c r="G29" s="266" t="inlineStr">
        <is>
          <t>Total</t>
        </is>
      </c>
      <c r="H29" s="267">
        <f>SUM(H26:H28)</f>
        <v/>
      </c>
    </row>
    <row r="31" ht="18" customHeight="1">
      <c r="A31" s="166" t="n"/>
      <c r="B31" s="173" t="inlineStr">
        <is>
          <t>Checks</t>
        </is>
      </c>
      <c r="C31" s="1" t="n"/>
      <c r="D31" s="1" t="n"/>
      <c r="E31" s="1" t="n"/>
      <c r="F31" s="1" t="n"/>
      <c r="G31" s="1" t="n"/>
      <c r="H31" s="1" t="n"/>
    </row>
    <row r="32">
      <c r="C32" s="268" t="n">
        <v>1</v>
      </c>
      <c r="D32" s="269" t="inlineStr">
        <is>
          <t>Payments total ties to balances owed</t>
        </is>
      </c>
      <c r="G32" s="270" t="inlineStr">
        <is>
          <t>Must pass</t>
        </is>
      </c>
      <c r="H32" s="271">
        <f>IF(K32=0,"✓ OK","✗ "&amp;K32&amp;" issue")</f>
        <v/>
      </c>
      <c r="K32">
        <f>IF(ROUND(H22-H6,0)=0,0,1)</f>
        <v/>
      </c>
    </row>
    <row r="33">
      <c r="C33" s="268" t="n">
        <v>2</v>
      </c>
      <c r="D33" s="269" t="inlineStr">
        <is>
          <t>Payments + head summary tie</t>
        </is>
      </c>
      <c r="G33" s="270" t="inlineStr">
        <is>
          <t>Must pass</t>
        </is>
      </c>
      <c r="H33" s="271">
        <f>IF(K33=0,"✓ OK","✗ "&amp;K33&amp;" issue")</f>
        <v/>
      </c>
      <c r="K33">
        <f>IF(ROUND(H22-H29,0)=0,0,1)</f>
        <v/>
      </c>
    </row>
    <row r="35">
      <c r="B35" s="272" t="inlineStr">
        <is>
          <t>Remarks</t>
        </is>
      </c>
    </row>
    <row r="36" ht="28" customHeight="1">
      <c r="B36" s="273" t="inlineStr">
        <is>
          <t>These are Rashid's own software (QuickBooks/CRM) and salary payments, funded by FMH/KBH on Awami's behalf — carved out of the 16-Sep closing at his request, purely for how it's presented here. QuickBooks itself needs no change: these entries are already posted there correctly under the FMH/KBH journal entries.</t>
        </is>
      </c>
    </row>
    <row r="37"/>
    <row r="40">
      <c r="B40" s="274" t="inlineStr">
        <is>
          <t>Prepared by (Accountant)</t>
        </is>
      </c>
      <c r="C40" s="35" t="n"/>
      <c r="D40" s="274" t="inlineStr">
        <is>
          <t>Checked by</t>
        </is>
      </c>
      <c r="E40" s="35" t="n"/>
      <c r="G40" s="274" t="inlineStr">
        <is>
          <t>Approved by (Director)</t>
        </is>
      </c>
      <c r="H40" s="35" t="n"/>
    </row>
    <row r="42">
      <c r="B42" s="275" t="inlineStr">
        <is>
          <t>Source: Awami_All_Entries.xlsx (Entries sheet)  ·  Split out from 16-Sep at Rashid's instruction  ·  Dates are voucher dates</t>
        </is>
      </c>
    </row>
  </sheetData>
  <mergeCells count="2">
    <mergeCell ref="B35:H35"/>
    <mergeCell ref="B36:H37"/>
  </mergeCells>
  <conditionalFormatting sqref="H32">
    <cfRule type="expression" priority="1" dxfId="11">
      <formula>K32&lt;&gt;0</formula>
    </cfRule>
  </conditionalFormatting>
  <conditionalFormatting sqref="H33">
    <cfRule type="expression" priority="2" dxfId="11">
      <formula>K33&lt;&gt;0</formula>
    </cfRule>
  </conditionalFormatting>
  <pageMargins left="0.3" right="0.3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.2" customWidth="1" min="1" max="1"/>
    <col width="9.5" customWidth="1" min="2" max="2"/>
    <col width="8.5" customWidth="1" min="3" max="3"/>
    <col width="40" customWidth="1" min="4" max="4"/>
    <col width="23" customWidth="1" min="5" max="5"/>
    <col width="13" customWidth="1" min="6" max="6"/>
    <col width="14" customWidth="1" min="7" max="7"/>
    <col width="13" customWidth="1" min="8" max="8"/>
    <col width="1.2" customWidth="1" min="9" max="9"/>
    <col hidden="1" width="13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>
      <c r="A2" s="1" t="n"/>
      <c r="B2" s="207" t="inlineStr">
        <is>
          <t>FOURTEEN GROUP OF COMPANIES  ·  AWAMI MARKET, KARKHANO, PESHAWAR</t>
        </is>
      </c>
      <c r="C2" s="1" t="n"/>
      <c r="D2" s="1" t="n"/>
      <c r="E2" s="1" t="n"/>
      <c r="F2" s="1" t="n"/>
      <c r="G2" s="208" t="inlineStr">
        <is>
          <t>Closing date</t>
        </is>
      </c>
      <c r="H2" s="209" t="n">
        <v>46281</v>
      </c>
      <c r="I2" s="1" t="n"/>
    </row>
    <row r="3" ht="24" customHeight="1">
      <c r="A3" s="1" t="n"/>
      <c r="B3" s="210" t="inlineStr">
        <is>
          <t>Consolidated Closing — All Entries to Date</t>
        </is>
      </c>
      <c r="C3" s="1" t="n"/>
      <c r="D3" s="1" t="n"/>
      <c r="E3" s="1" t="n"/>
      <c r="F3" s="1" t="n"/>
      <c r="G3" s="208" t="inlineStr">
        <is>
          <t>Entries</t>
        </is>
      </c>
      <c r="H3" s="211" t="inlineStr">
        <is>
          <t>57 JVs · 140 lines</t>
        </is>
      </c>
      <c r="I3" s="1" t="n"/>
    </row>
    <row r="4" ht="6" customHeight="1">
      <c r="A4" s="166" t="n"/>
      <c r="B4" s="166" t="n"/>
      <c r="C4" s="166" t="n"/>
      <c r="D4" s="166" t="n"/>
      <c r="E4" s="166" t="n"/>
      <c r="F4" s="166" t="n"/>
      <c r="G4" s="166" t="n"/>
      <c r="H4" s="166" t="n"/>
      <c r="I4" s="166" t="n"/>
    </row>
    <row r="5" ht="15" customHeight="1">
      <c r="A5" s="6" t="n"/>
      <c r="B5" s="212" t="inlineStr">
        <is>
          <t>Period</t>
        </is>
      </c>
      <c r="C5" s="6" t="n"/>
      <c r="D5" s="212" t="inlineStr">
        <is>
          <t>From – to</t>
        </is>
      </c>
      <c r="E5" s="213" t="inlineStr">
        <is>
          <t>Token money (net)</t>
        </is>
      </c>
      <c r="F5" s="213" t="inlineStr">
        <is>
          <t>Expenses paid</t>
        </is>
      </c>
      <c r="G5" s="213" t="inlineStr">
        <is>
          <t>With Yousaf Shah</t>
        </is>
      </c>
      <c r="H5" s="213" t="inlineStr">
        <is>
          <t>Owed to FMH + KBH</t>
        </is>
      </c>
      <c r="I5" s="6" t="n"/>
    </row>
    <row r="6" ht="22" customHeight="1">
      <c r="A6" s="9" t="n"/>
      <c r="B6" s="214" t="inlineStr">
        <is>
          <t>225 days</t>
        </is>
      </c>
      <c r="C6" s="9" t="n"/>
      <c r="D6" s="214" t="inlineStr">
        <is>
          <t>06-Feb-26  →  18-Sep-26</t>
        </is>
      </c>
      <c r="E6" s="215">
        <f>H37</f>
        <v/>
      </c>
      <c r="F6" s="216">
        <f>H75</f>
        <v/>
      </c>
      <c r="G6" s="217">
        <f>H14</f>
        <v/>
      </c>
      <c r="H6" s="218">
        <f>-(H15+H16)</f>
        <v/>
      </c>
      <c r="I6" s="9" t="n"/>
    </row>
    <row r="8" ht="18" customHeight="1">
      <c r="A8" s="166" t="n"/>
      <c r="B8" s="173" t="inlineStr">
        <is>
          <t>Balances brought forward and closing</t>
        </is>
      </c>
      <c r="C8" s="1" t="n"/>
      <c r="D8" s="1" t="n"/>
      <c r="E8" s="1" t="n"/>
      <c r="F8" s="1" t="n"/>
      <c r="G8" s="1" t="n"/>
      <c r="H8" s="219" t="inlineStr">
        <is>
          <t>Amounts in brackets are what Awami owes</t>
        </is>
      </c>
    </row>
    <row r="9" ht="14" customHeight="1">
      <c r="B9" s="220" t="inlineStr">
        <is>
          <t>Code</t>
        </is>
      </c>
      <c r="C9" s="220" t="inlineStr">
        <is>
          <t>Account</t>
        </is>
      </c>
      <c r="D9" s="6" t="n"/>
      <c r="E9" s="221" t="inlineStr">
        <is>
          <t>Opening b/f</t>
        </is>
      </c>
      <c r="F9" s="221" t="inlineStr">
        <is>
          <t>Debit</t>
        </is>
      </c>
      <c r="G9" s="221" t="inlineStr">
        <is>
          <t>Credit</t>
        </is>
      </c>
      <c r="H9" s="221" t="inlineStr">
        <is>
          <t>Closing</t>
        </is>
      </c>
    </row>
    <row r="10" ht="15" customHeight="1">
      <c r="B10" s="222" t="n">
        <v>10100</v>
      </c>
      <c r="C10" s="223" t="inlineStr">
        <is>
          <t>Cash in Hand</t>
        </is>
      </c>
      <c r="D10" s="59" t="n"/>
      <c r="E10" s="224" t="n">
        <v>0</v>
      </c>
      <c r="F10" s="225">
        <f>SUMIFS(Entries!$G$2:$G$155,Entries!$C$2:$C$155,"Cash &amp; Bank:Cash in Hand")</f>
        <v/>
      </c>
      <c r="G10" s="225">
        <f>SUMIFS(Entries!$H$2:$H$155,Entries!$C$2:$C$155,"Cash &amp; Bank:Cash in Hand")</f>
        <v/>
      </c>
      <c r="H10" s="226">
        <f>E10+F10-G10</f>
        <v/>
      </c>
    </row>
    <row r="11" ht="15" customHeight="1">
      <c r="B11" s="222" t="n">
        <v>10200</v>
      </c>
      <c r="C11" s="223" t="inlineStr">
        <is>
          <t>Petty Cash</t>
        </is>
      </c>
      <c r="D11" s="59" t="n"/>
      <c r="E11" s="224" t="n">
        <v>0</v>
      </c>
      <c r="F11" s="225">
        <f>SUMIFS(Entries!$G$2:$G$155,Entries!$C$2:$C$155,"Cash &amp; Bank:Petty Cash")</f>
        <v/>
      </c>
      <c r="G11" s="225">
        <f>SUMIFS(Entries!$H$2:$H$155,Entries!$C$2:$C$155,"Cash &amp; Bank:Petty Cash")</f>
        <v/>
      </c>
      <c r="H11" s="226">
        <f>E11+F11-G11</f>
        <v/>
      </c>
    </row>
    <row r="12" ht="15" customHeight="1">
      <c r="B12" s="222" t="n">
        <v>10300</v>
      </c>
      <c r="C12" s="223" t="inlineStr">
        <is>
          <t>Bank Al-Habib - Awami Market</t>
        </is>
      </c>
      <c r="D12" s="59" t="n"/>
      <c r="E12" s="224" t="n">
        <v>0</v>
      </c>
      <c r="F12" s="225">
        <f>SUMIFS(Entries!$G$2:$G$155,Entries!$C$2:$C$155,"Cash &amp; Bank:Bank Al-Habib - Awami Market")</f>
        <v/>
      </c>
      <c r="G12" s="225">
        <f>SUMIFS(Entries!$H$2:$H$155,Entries!$C$2:$C$155,"Cash &amp; Bank:Bank Al-Habib - Awami Market")</f>
        <v/>
      </c>
      <c r="H12" s="226">
        <f>E12+F12-G12</f>
        <v/>
      </c>
    </row>
    <row r="13" ht="13" customHeight="1">
      <c r="B13" s="227" t="inlineStr">
        <is>
          <t>Not cash — money held or owed on Awami's behalf</t>
        </is>
      </c>
    </row>
    <row r="14" ht="15" customHeight="1">
      <c r="B14" s="222" t="n">
        <v>12610</v>
      </c>
      <c r="C14" s="223" t="inlineStr">
        <is>
          <t>Due from Syed Yousaf Shah (receivable, not cash)</t>
        </is>
      </c>
      <c r="D14" s="59" t="n"/>
      <c r="E14" s="224" t="n">
        <v>0</v>
      </c>
      <c r="F14" s="225">
        <f>SUMIFS(Entries!$G$2:$G$158,Entries!$C$2:$C$158,"Current Assets:Due from Directors:Syed Yousaf Shah")</f>
        <v/>
      </c>
      <c r="G14" s="225">
        <f>SUMIFS(Entries!$H$2:$H$158,Entries!$C$2:$C$158,"Current Assets:Due from Directors:Syed Yousaf Shah")</f>
        <v/>
      </c>
      <c r="H14" s="226">
        <f>E14+F14-G14</f>
        <v/>
      </c>
    </row>
    <row r="15" ht="15" customHeight="1">
      <c r="B15" s="222" t="n">
        <v>22100</v>
      </c>
      <c r="C15" s="223" t="inlineStr">
        <is>
          <t>FMH - Fourteen Manzil Heights</t>
        </is>
      </c>
      <c r="D15" s="59" t="n"/>
      <c r="E15" s="224" t="n">
        <v>0</v>
      </c>
      <c r="F15" s="225">
        <f>SUMIFS(Entries!$G$2:$G$155,Entries!$C$2:$C$155,"Due to / from Group Companies:FMH - Fourteen Manzil Heights",Entries!$J$2:$J$155,"16-Sep")</f>
        <v/>
      </c>
      <c r="G15" s="225">
        <f>SUMIFS(Entries!$H$2:$H$155,Entries!$C$2:$C$155,"Due to / from Group Companies:FMH - Fourteen Manzil Heights",Entries!$J$2:$J$155,"16-Sep")</f>
        <v/>
      </c>
      <c r="H15" s="226">
        <f>E15+F15-G15</f>
        <v/>
      </c>
    </row>
    <row r="16" ht="15" customHeight="1">
      <c r="B16" s="222" t="n">
        <v>22200</v>
      </c>
      <c r="C16" s="223" t="inlineStr">
        <is>
          <t>KBH - Khushal Bagh Heights</t>
        </is>
      </c>
      <c r="D16" s="59" t="n"/>
      <c r="E16" s="224" t="n">
        <v>0</v>
      </c>
      <c r="F16" s="225">
        <f>SUMIFS(Entries!$G$2:$G$155,Entries!$C$2:$C$155,"Due to / from Group Companies:KBH - Khushal Bagh Heights",Entries!$J$2:$J$155,"16-Sep")</f>
        <v/>
      </c>
      <c r="G16" s="225">
        <f>SUMIFS(Entries!$H$2:$H$155,Entries!$C$2:$C$155,"Due to / from Group Companies:KBH - Khushal Bagh Heights",Entries!$J$2:$J$155,"16-Sep")</f>
        <v/>
      </c>
      <c r="H16" s="226">
        <f>E16+F16-G16</f>
        <v/>
      </c>
    </row>
    <row r="17" ht="15" customHeight="1">
      <c r="B17" s="222" t="n">
        <v>21100</v>
      </c>
      <c r="C17" s="223" t="inlineStr">
        <is>
          <t>Token Money - Units (customer advances)</t>
        </is>
      </c>
      <c r="D17" s="59" t="n"/>
      <c r="E17" s="224" t="n">
        <v>0</v>
      </c>
      <c r="F17" s="225">
        <f>SUMIFS(Entries!$G$2:$G$155,Entries!$C$2:$C$155,"Customer Advances:Token Money - Units")</f>
        <v/>
      </c>
      <c r="G17" s="225">
        <f>SUMIFS(Entries!$H$2:$H$155,Entries!$C$2:$C$155,"Customer Advances:Token Money - Units")</f>
        <v/>
      </c>
      <c r="H17" s="226">
        <f>E17+F17-G17</f>
        <v/>
      </c>
    </row>
    <row r="19" ht="18" customHeight="1">
      <c r="A19" s="166" t="n"/>
      <c r="B19" s="228" t="inlineStr">
        <is>
          <t>Token money received</t>
        </is>
      </c>
      <c r="C19" s="26" t="n"/>
      <c r="D19" s="26" t="n"/>
      <c r="E19" s="26" t="n"/>
      <c r="F19" s="26" t="n"/>
      <c r="G19" s="26" t="n"/>
      <c r="H19" s="229" t="inlineStr">
        <is>
          <t>Credit 21100 · money came in through FMH office or director</t>
        </is>
      </c>
    </row>
    <row r="20" ht="14" customHeight="1">
      <c r="B20" s="220" t="inlineStr">
        <is>
          <t>Date</t>
        </is>
      </c>
      <c r="C20" s="220" t="inlineStr">
        <is>
          <t>Voucher</t>
        </is>
      </c>
      <c r="D20" s="220" t="inlineStr">
        <is>
          <t>Token · buyer : units</t>
        </is>
      </c>
      <c r="F20" s="220" t="inlineStr">
        <is>
          <t>Class</t>
        </is>
      </c>
      <c r="G20" s="220" t="inlineStr">
        <is>
          <t>Received through</t>
        </is>
      </c>
      <c r="H20" s="221" t="inlineStr">
        <is>
          <t>Amount</t>
        </is>
      </c>
    </row>
    <row r="21" ht="14" customHeight="1">
      <c r="B21" s="230" t="n">
        <v>46189</v>
      </c>
      <c r="C21" s="231" t="inlineStr">
        <is>
          <t>JV-0016</t>
        </is>
      </c>
      <c r="D21" s="232" t="inlineStr">
        <is>
          <t>Token 101 · Abdullah: LG-03</t>
        </is>
      </c>
      <c r="E21" s="59" t="n"/>
      <c r="F21" s="222" t="inlineStr">
        <is>
          <t>LG</t>
        </is>
      </c>
      <c r="G21" s="233" t="inlineStr">
        <is>
          <t>FMH</t>
        </is>
      </c>
      <c r="H21" s="234" t="n">
        <v>250000</v>
      </c>
    </row>
    <row r="22" ht="14" customHeight="1">
      <c r="B22" s="230" t="n">
        <v>46213</v>
      </c>
      <c r="C22" s="231" t="inlineStr">
        <is>
          <t>JV-0001</t>
        </is>
      </c>
      <c r="D22" s="232" t="inlineStr">
        <is>
          <t>Token 102 · Suhail: GF-129</t>
        </is>
      </c>
      <c r="E22" s="59" t="n"/>
      <c r="F22" s="222" t="inlineStr">
        <is>
          <t>GF</t>
        </is>
      </c>
      <c r="G22" s="233" t="inlineStr">
        <is>
          <t>FMH · Cash</t>
        </is>
      </c>
      <c r="H22" s="234" t="n">
        <v>10000</v>
      </c>
    </row>
    <row r="23" ht="25" customHeight="1">
      <c r="B23" s="230" t="n">
        <v>46232</v>
      </c>
      <c r="C23" s="231" t="inlineStr">
        <is>
          <t>JV-0002</t>
        </is>
      </c>
      <c r="D23" s="232" t="inlineStr">
        <is>
          <t>Token 103 · Hassan Jan: GF-129</t>
        </is>
      </c>
      <c r="E23" s="59" t="n"/>
      <c r="F23" s="222" t="inlineStr">
        <is>
          <t>GF</t>
        </is>
      </c>
      <c r="G23" s="233" t="inlineStr">
        <is>
          <t>FMH · Online to 14 Development</t>
        </is>
      </c>
      <c r="H23" s="234" t="n">
        <v>40000</v>
      </c>
    </row>
    <row r="24" ht="14" customHeight="1">
      <c r="B24" s="230" t="n">
        <v>46253</v>
      </c>
      <c r="C24" s="231" t="inlineStr">
        <is>
          <t>JV-0003</t>
        </is>
      </c>
      <c r="D24" s="232" t="inlineStr">
        <is>
          <t>Token 105 · Raza Ullah: GF-112</t>
        </is>
      </c>
      <c r="E24" s="59" t="n"/>
      <c r="F24" s="222" t="inlineStr">
        <is>
          <t>GF</t>
        </is>
      </c>
      <c r="G24" s="233" t="inlineStr">
        <is>
          <t>FMH · Cash</t>
        </is>
      </c>
      <c r="H24" s="234" t="n">
        <v>10000</v>
      </c>
    </row>
    <row r="25" ht="14" customHeight="1">
      <c r="B25" s="230" t="n">
        <v>46253</v>
      </c>
      <c r="C25" s="231" t="inlineStr">
        <is>
          <t>JV-0004</t>
        </is>
      </c>
      <c r="D25" s="232" t="inlineStr">
        <is>
          <t>Token 106 · Raza Ullah: GF-176</t>
        </is>
      </c>
      <c r="E25" s="59" t="n"/>
      <c r="F25" s="222" t="inlineStr">
        <is>
          <t>GF</t>
        </is>
      </c>
      <c r="G25" s="233" t="inlineStr">
        <is>
          <t>FMH · Cash</t>
        </is>
      </c>
      <c r="H25" s="234" t="n">
        <v>10000</v>
      </c>
    </row>
    <row r="26" ht="14" customHeight="1">
      <c r="B26" s="230" t="n">
        <v>46262</v>
      </c>
      <c r="C26" s="231" t="inlineStr">
        <is>
          <t>JV-0005</t>
        </is>
      </c>
      <c r="D26" s="232" t="inlineStr">
        <is>
          <t>Token 107 · Samin Khan Bangash: LG-132, LG-133</t>
        </is>
      </c>
      <c r="E26" s="59" t="n"/>
      <c r="F26" s="222" t="inlineStr">
        <is>
          <t>LG</t>
        </is>
      </c>
      <c r="G26" s="233" t="inlineStr">
        <is>
          <t>FMH · Cash</t>
        </is>
      </c>
      <c r="H26" s="234" t="n">
        <v>10000</v>
      </c>
    </row>
    <row r="27" ht="25" customHeight="1">
      <c r="B27" s="230" t="n">
        <v>46266</v>
      </c>
      <c r="C27" s="231" t="inlineStr">
        <is>
          <t>JV-0006</t>
        </is>
      </c>
      <c r="D27" s="232" t="inlineStr">
        <is>
          <t>Token 108 · Hassan Jan: GF-129</t>
        </is>
      </c>
      <c r="E27" s="59" t="n"/>
      <c r="F27" s="222" t="inlineStr">
        <is>
          <t>GF</t>
        </is>
      </c>
      <c r="G27" s="233" t="inlineStr">
        <is>
          <t>FMH · Online to 14 Development</t>
        </is>
      </c>
      <c r="H27" s="234" t="n">
        <v>100000</v>
      </c>
    </row>
    <row r="28" ht="25" customHeight="1">
      <c r="B28" s="230" t="n">
        <v>46269</v>
      </c>
      <c r="C28" s="231" t="inlineStr">
        <is>
          <t>JV-0007</t>
        </is>
      </c>
      <c r="D28" s="232" t="inlineStr">
        <is>
          <t>Token 109 · Haji Ibrar: LG-05, LG-06 · Waqar Ahmad - Units: LG-47 to LG-50, LG-91 to LG-93</t>
        </is>
      </c>
      <c r="E28" s="59" t="n"/>
      <c r="F28" s="222" t="inlineStr">
        <is>
          <t>LG</t>
        </is>
      </c>
      <c r="G28" s="233" t="inlineStr">
        <is>
          <t>FMH · Cash</t>
        </is>
      </c>
      <c r="H28" s="234" t="n">
        <v>500000</v>
      </c>
    </row>
    <row r="29" ht="14" customHeight="1">
      <c r="B29" s="230" t="n">
        <v>46269</v>
      </c>
      <c r="C29" s="231" t="inlineStr">
        <is>
          <t>JV-0008</t>
        </is>
      </c>
      <c r="D29" s="232" t="inlineStr">
        <is>
          <t>Token 110 · Hussain: LG-54, LG-97</t>
        </is>
      </c>
      <c r="E29" s="59" t="n"/>
      <c r="F29" s="222" t="inlineStr">
        <is>
          <t>LG</t>
        </is>
      </c>
      <c r="G29" s="233" t="inlineStr">
        <is>
          <t>FMH · Cash</t>
        </is>
      </c>
      <c r="H29" s="234" t="n">
        <v>200000</v>
      </c>
    </row>
    <row r="30" ht="14" customHeight="1">
      <c r="B30" s="230" t="n">
        <v>46270</v>
      </c>
      <c r="C30" s="231" t="inlineStr">
        <is>
          <t>JV-0009</t>
        </is>
      </c>
      <c r="D30" s="232" t="inlineStr">
        <is>
          <t>Token 111 · Haji Ibrar: LG-01 to LG-09</t>
        </is>
      </c>
      <c r="E30" s="59" t="n"/>
      <c r="F30" s="222" t="inlineStr">
        <is>
          <t>LG</t>
        </is>
      </c>
      <c r="G30" s="233" t="inlineStr">
        <is>
          <t>FMH · Cash</t>
        </is>
      </c>
      <c r="H30" s="234" t="n">
        <v>600000</v>
      </c>
    </row>
    <row r="31" ht="14" customHeight="1">
      <c r="B31" s="230" t="n">
        <v>46270</v>
      </c>
      <c r="C31" s="231" t="inlineStr">
        <is>
          <t>JV-0010</t>
        </is>
      </c>
      <c r="D31" s="232" t="inlineStr">
        <is>
          <t>Token 112 · Malak Ibrar: GF-13</t>
        </is>
      </c>
      <c r="E31" s="59" t="n"/>
      <c r="F31" s="222" t="inlineStr">
        <is>
          <t>GF</t>
        </is>
      </c>
      <c r="G31" s="233" t="inlineStr">
        <is>
          <t>FMH · Cash</t>
        </is>
      </c>
      <c r="H31" s="234" t="n">
        <v>500000</v>
      </c>
    </row>
    <row r="32" ht="25" customHeight="1">
      <c r="B32" s="230" t="n">
        <v>46276</v>
      </c>
      <c r="C32" s="231" t="inlineStr">
        <is>
          <t>JV-0011</t>
        </is>
      </c>
      <c r="D32" s="232" t="inlineStr">
        <is>
          <t>Token 113 · Meena Gul: LG-51 to LG-53, LG-94 to LG-96, GF-90</t>
        </is>
      </c>
      <c r="E32" s="59" t="n"/>
      <c r="F32" s="222" t="inlineStr">
        <is>
          <t>GF/LG</t>
        </is>
      </c>
      <c r="G32" s="233" t="inlineStr">
        <is>
          <t>Syed Yousaf Shah · Cash</t>
        </is>
      </c>
      <c r="H32" s="234" t="n">
        <v>800000</v>
      </c>
    </row>
    <row r="33" ht="14" customHeight="1">
      <c r="B33" s="230" t="n">
        <v>46279</v>
      </c>
      <c r="C33" s="231" t="inlineStr">
        <is>
          <t>JV-0012</t>
        </is>
      </c>
      <c r="D33" s="232" t="inlineStr">
        <is>
          <t>Token 114 · Azhar Ud Din: LG-10</t>
        </is>
      </c>
      <c r="E33" s="59" t="n"/>
      <c r="F33" s="222" t="inlineStr">
        <is>
          <t>LG</t>
        </is>
      </c>
      <c r="G33" s="233" t="inlineStr">
        <is>
          <t>FMH · Cash</t>
        </is>
      </c>
      <c r="H33" s="234" t="n">
        <v>100000</v>
      </c>
    </row>
    <row r="34" ht="14" customHeight="1">
      <c r="B34" s="230" t="n">
        <v>46279</v>
      </c>
      <c r="C34" s="231" t="inlineStr">
        <is>
          <t>JV-0013</t>
        </is>
      </c>
      <c r="D34" s="232" t="inlineStr">
        <is>
          <t>Token 115 · Sudais: LG-55 · Shuraim: LG-98</t>
        </is>
      </c>
      <c r="E34" s="59" t="n"/>
      <c r="F34" s="222" t="inlineStr">
        <is>
          <t>LG</t>
        </is>
      </c>
      <c r="G34" s="233" t="inlineStr">
        <is>
          <t>FMH · Cash</t>
        </is>
      </c>
      <c r="H34" s="234" t="n">
        <v>200000</v>
      </c>
    </row>
    <row r="35" ht="14" customHeight="1">
      <c r="B35" s="230" t="n">
        <v>46279</v>
      </c>
      <c r="C35" s="231" t="inlineStr">
        <is>
          <t>JV-0014</t>
        </is>
      </c>
      <c r="D35" s="232" t="inlineStr">
        <is>
          <t>Token 116 · Salman: CB-16, CB-45</t>
        </is>
      </c>
      <c r="E35" s="59" t="n"/>
      <c r="F35" s="222" t="inlineStr">
        <is>
          <t>CB</t>
        </is>
      </c>
      <c r="G35" s="233" t="inlineStr">
        <is>
          <t>FMH · Cash</t>
        </is>
      </c>
      <c r="H35" s="234" t="n">
        <v>200000</v>
      </c>
    </row>
    <row r="36" ht="14" customHeight="1">
      <c r="B36" s="230" t="n">
        <v>46283</v>
      </c>
      <c r="C36" s="231" t="inlineStr">
        <is>
          <t>JV-0017</t>
        </is>
      </c>
      <c r="D36" s="235" t="inlineStr">
        <is>
          <t>Refund: Token 101 · Abdullah: LG-03</t>
        </is>
      </c>
      <c r="E36" s="59" t="n"/>
      <c r="F36" s="222" t="inlineStr">
        <is>
          <t>LG</t>
        </is>
      </c>
      <c r="G36" s="233" t="inlineStr">
        <is>
          <t>FMH</t>
        </is>
      </c>
      <c r="H36" s="236" t="n">
        <v>-250000</v>
      </c>
    </row>
    <row r="37" ht="16" customHeight="1">
      <c r="B37" s="237" t="inlineStr">
        <is>
          <t>15 tokens received, 1 refunded</t>
        </is>
      </c>
      <c r="C37" s="35" t="n"/>
      <c r="D37" s="35" t="n"/>
      <c r="E37" s="35" t="n"/>
      <c r="F37" s="35" t="n"/>
      <c r="G37" s="238" t="inlineStr">
        <is>
          <t>Net token money</t>
        </is>
      </c>
      <c r="H37" s="239">
        <f>SUM(H21:H36)</f>
        <v/>
      </c>
    </row>
    <row r="39" ht="18" customHeight="1">
      <c r="A39" s="166" t="n"/>
      <c r="B39" s="240" t="inlineStr">
        <is>
          <t>Payments made on Awami's behalf</t>
        </is>
      </c>
      <c r="C39" s="38" t="n"/>
      <c r="D39" s="38" t="n"/>
      <c r="E39" s="38" t="n"/>
      <c r="F39" s="38" t="n"/>
      <c r="G39" s="38" t="n"/>
      <c r="H39" s="241" t="inlineStr">
        <is>
          <t>Paid by FMH, KBH or director · no Awami cash or bank used</t>
        </is>
      </c>
    </row>
    <row r="40" ht="14" customHeight="1">
      <c r="B40" s="220" t="inlineStr">
        <is>
          <t>Date</t>
        </is>
      </c>
      <c r="C40" s="220" t="inlineStr">
        <is>
          <t>Voucher</t>
        </is>
      </c>
      <c r="D40" s="220" t="inlineStr">
        <is>
          <t>Description</t>
        </is>
      </c>
      <c r="E40" s="220" t="inlineStr">
        <is>
          <t>Head (COA)</t>
        </is>
      </c>
      <c r="F40" s="220" t="inlineStr">
        <is>
          <t>Payee</t>
        </is>
      </c>
      <c r="G40" s="220" t="inlineStr">
        <is>
          <t>Paid through</t>
        </is>
      </c>
      <c r="H40" s="221" t="inlineStr">
        <is>
          <t>Amount</t>
        </is>
      </c>
    </row>
    <row r="41" ht="25" customHeight="1">
      <c r="B41" s="230" t="n">
        <v>46059</v>
      </c>
      <c r="C41" s="231" t="inlineStr">
        <is>
          <t>JV-0018</t>
        </is>
      </c>
      <c r="D41" s="242" t="inlineStr">
        <is>
          <t>Ch# 10318764 deposited to Yousaf saib UBL</t>
        </is>
      </c>
      <c r="E41" s="233" t="inlineStr">
        <is>
          <t>51100 · Land Purchase Cost</t>
        </is>
      </c>
      <c r="F41" s="233" t="inlineStr">
        <is>
          <t>Syed Yousaf Shah</t>
        </is>
      </c>
      <c r="G41" s="243" t="inlineStr">
        <is>
          <t>FMH</t>
        </is>
      </c>
      <c r="H41" s="234" t="n">
        <v>10000000</v>
      </c>
    </row>
    <row r="42" ht="25" customHeight="1">
      <c r="B42" s="230" t="n">
        <v>46111</v>
      </c>
      <c r="C42" s="231" t="inlineStr">
        <is>
          <t>JV-0019</t>
        </is>
      </c>
      <c r="D42" s="242" t="inlineStr">
        <is>
          <t>Ch# 10323992 issued to Yousaf saib as loan return</t>
        </is>
      </c>
      <c r="E42" s="233" t="inlineStr">
        <is>
          <t>51100 · Land Purchase Cost</t>
        </is>
      </c>
      <c r="F42" s="233" t="inlineStr">
        <is>
          <t>Syed Yousaf Shah</t>
        </is>
      </c>
      <c r="G42" s="243" t="inlineStr">
        <is>
          <t>FMH</t>
        </is>
      </c>
      <c r="H42" s="234" t="n">
        <v>4000000</v>
      </c>
    </row>
    <row r="43" ht="25" customHeight="1">
      <c r="B43" s="230" t="n">
        <v>46111</v>
      </c>
      <c r="C43" s="231" t="inlineStr">
        <is>
          <t>JV-0020</t>
        </is>
      </c>
      <c r="D43" s="242" t="inlineStr">
        <is>
          <t>Ch# 10323992 issued to Yousaf saib as loan return - second entry</t>
        </is>
      </c>
      <c r="E43" s="233" t="inlineStr">
        <is>
          <t>51100 · Land Purchase Cost</t>
        </is>
      </c>
      <c r="F43" s="233" t="inlineStr">
        <is>
          <t>Syed Yousaf Shah</t>
        </is>
      </c>
      <c r="G43" s="243" t="inlineStr">
        <is>
          <t>FMH</t>
        </is>
      </c>
      <c r="H43" s="234" t="n">
        <v>4000000</v>
      </c>
    </row>
    <row r="44" ht="25" customHeight="1">
      <c r="B44" s="230" t="n">
        <v>46129</v>
      </c>
      <c r="C44" s="231" t="inlineStr">
        <is>
          <t>JV-0021</t>
        </is>
      </c>
      <c r="D44" s="242" t="inlineStr">
        <is>
          <t>Paid to Kashif as stamp navi</t>
        </is>
      </c>
      <c r="E44" s="233" t="inlineStr">
        <is>
          <t>70500 · Printing &amp; Stationery</t>
        </is>
      </c>
      <c r="F44" s="233" t="inlineStr">
        <is>
          <t>Kashif</t>
        </is>
      </c>
      <c r="G44" s="243" t="inlineStr">
        <is>
          <t>FMH</t>
        </is>
      </c>
      <c r="H44" s="234" t="n">
        <v>15000</v>
      </c>
    </row>
    <row r="45" ht="25" customHeight="1">
      <c r="B45" s="230" t="n">
        <v>46132</v>
      </c>
      <c r="C45" s="231" t="inlineStr">
        <is>
          <t>JV-0022</t>
        </is>
      </c>
      <c r="D45" s="242" t="inlineStr">
        <is>
          <t>Paid to Waqar easypaisa for project MAP</t>
        </is>
      </c>
      <c r="E45" s="233" t="inlineStr">
        <is>
          <t>60300 · Marketing Printing &amp; Material</t>
        </is>
      </c>
      <c r="F45" s="233" t="inlineStr">
        <is>
          <t>Waqar Easypaisa</t>
        </is>
      </c>
      <c r="G45" s="243" t="inlineStr">
        <is>
          <t>FMH</t>
        </is>
      </c>
      <c r="H45" s="234" t="n">
        <v>10000</v>
      </c>
    </row>
    <row r="46" ht="25" customHeight="1">
      <c r="B46" s="230" t="n">
        <v>46133</v>
      </c>
      <c r="C46" s="231" t="inlineStr">
        <is>
          <t>JV-0023</t>
        </is>
      </c>
      <c r="D46" s="242" t="inlineStr">
        <is>
          <t>Paid to Shah Khalid online by Naeem saib</t>
        </is>
      </c>
      <c r="E46" s="233" t="inlineStr">
        <is>
          <t>53100 · Architecture, Design &amp; Drawings</t>
        </is>
      </c>
      <c r="F46" s="233" t="inlineStr">
        <is>
          <t>Shah Khalid</t>
        </is>
      </c>
      <c r="G46" s="243" t="inlineStr">
        <is>
          <t>FMH</t>
        </is>
      </c>
      <c r="H46" s="234" t="n">
        <v>500000</v>
      </c>
    </row>
    <row r="47" ht="25" customHeight="1">
      <c r="B47" s="230" t="n">
        <v>46135</v>
      </c>
      <c r="C47" s="231" t="inlineStr">
        <is>
          <t>JV-0024</t>
        </is>
      </c>
      <c r="D47" s="242" t="inlineStr">
        <is>
          <t>Ch# 10324016 issued to Alam c/o Dr Irshad</t>
        </is>
      </c>
      <c r="E47" s="233" t="inlineStr">
        <is>
          <t>53200 · Soil Testing &amp; Survey</t>
        </is>
      </c>
      <c r="F47" s="233" t="inlineStr">
        <is>
          <t>Alam</t>
        </is>
      </c>
      <c r="G47" s="243" t="inlineStr">
        <is>
          <t>FMH</t>
        </is>
      </c>
      <c r="H47" s="234" t="n">
        <v>100000</v>
      </c>
    </row>
    <row r="48" ht="25" customHeight="1">
      <c r="B48" s="230" t="n">
        <v>46139</v>
      </c>
      <c r="C48" s="231" t="inlineStr">
        <is>
          <t>JV-0026</t>
        </is>
      </c>
      <c r="D48" s="242" t="inlineStr">
        <is>
          <t>Paid for Kharkhano map laptop</t>
        </is>
      </c>
      <c r="E48" s="233" t="inlineStr">
        <is>
          <t>15300 · Computer &amp; IT Equipment</t>
        </is>
      </c>
      <c r="F48" s="233" t="inlineStr"/>
      <c r="G48" s="243" t="inlineStr">
        <is>
          <t>FMH</t>
        </is>
      </c>
      <c r="H48" s="234" t="n">
        <v>35000</v>
      </c>
    </row>
    <row r="49" ht="25" customHeight="1">
      <c r="B49" s="230" t="n">
        <v>46142</v>
      </c>
      <c r="C49" s="231" t="inlineStr">
        <is>
          <t>JV-0027</t>
        </is>
      </c>
      <c r="D49" s="242" t="inlineStr">
        <is>
          <t>Paid to Noor Zaman TMA b/o Yousaf saib</t>
        </is>
      </c>
      <c r="E49" s="233" t="inlineStr">
        <is>
          <t>53500 · Regulatory &amp; Facilitation</t>
        </is>
      </c>
      <c r="F49" s="233" t="inlineStr">
        <is>
          <t>Noor Zaman TMA</t>
        </is>
      </c>
      <c r="G49" s="243" t="inlineStr">
        <is>
          <t>FMH</t>
        </is>
      </c>
      <c r="H49" s="234" t="n">
        <v>100000</v>
      </c>
    </row>
    <row r="50" ht="25" customHeight="1">
      <c r="B50" s="230" t="n">
        <v>46146</v>
      </c>
      <c r="C50" s="231" t="inlineStr">
        <is>
          <t>JV-0028</t>
        </is>
      </c>
      <c r="D50" s="242" t="inlineStr">
        <is>
          <t>Paid to Alam c/o Dr Irshad</t>
        </is>
      </c>
      <c r="E50" s="233" t="inlineStr">
        <is>
          <t>53200 · Soil Testing &amp; Survey</t>
        </is>
      </c>
      <c r="F50" s="233" t="inlineStr">
        <is>
          <t>Alam</t>
        </is>
      </c>
      <c r="G50" s="243" t="inlineStr">
        <is>
          <t>FMH</t>
        </is>
      </c>
      <c r="H50" s="234" t="n">
        <v>100000</v>
      </c>
    </row>
    <row r="51" ht="25" customHeight="1">
      <c r="B51" s="230" t="n">
        <v>46163</v>
      </c>
      <c r="C51" s="231" t="inlineStr">
        <is>
          <t>JV-0031</t>
        </is>
      </c>
      <c r="D51" s="242" t="inlineStr">
        <is>
          <t>Paid to RX Printings, receipts etc</t>
        </is>
      </c>
      <c r="E51" s="233" t="inlineStr">
        <is>
          <t>70500 · Printing &amp; Stationery</t>
        </is>
      </c>
      <c r="F51" s="233" t="inlineStr">
        <is>
          <t>RX Printings</t>
        </is>
      </c>
      <c r="G51" s="243" t="inlineStr">
        <is>
          <t>FMH</t>
        </is>
      </c>
      <c r="H51" s="234" t="n">
        <v>20000</v>
      </c>
    </row>
    <row r="52" ht="14" customHeight="1">
      <c r="B52" s="230" t="n">
        <v>46168</v>
      </c>
      <c r="C52" s="231" t="inlineStr">
        <is>
          <t>JV-0055</t>
        </is>
      </c>
      <c r="D52" s="242" t="inlineStr">
        <is>
          <t>Paid to Patwari for Karkhano project by Syed Yousaf Shah - KBH ref CPV-8264</t>
        </is>
      </c>
      <c r="E52" s="233" t="inlineStr">
        <is>
          <t>53500 · Regulatory &amp; Facilitation</t>
        </is>
      </c>
      <c r="F52" s="233" t="inlineStr">
        <is>
          <t>Patwari</t>
        </is>
      </c>
      <c r="G52" s="243" t="inlineStr">
        <is>
          <t>KBH</t>
        </is>
      </c>
      <c r="H52" s="234" t="n">
        <v>100000</v>
      </c>
    </row>
    <row r="53" ht="25" customHeight="1">
      <c r="B53" s="230" t="n">
        <v>46178</v>
      </c>
      <c r="C53" s="231" t="inlineStr">
        <is>
          <t>JV-0033</t>
        </is>
      </c>
      <c r="D53" s="242" t="inlineStr">
        <is>
          <t>Paid for receipt books CRV CPV and tokens, Awami mobile</t>
        </is>
      </c>
      <c r="E53" s="233" t="inlineStr">
        <is>
          <t>70500 · Printing &amp; Stationery</t>
        </is>
      </c>
      <c r="F53" s="233" t="inlineStr"/>
      <c r="G53" s="243" t="inlineStr">
        <is>
          <t>FMH</t>
        </is>
      </c>
      <c r="H53" s="234" t="n">
        <v>45000</v>
      </c>
    </row>
    <row r="54" ht="25" customHeight="1">
      <c r="B54" s="230" t="n">
        <v>46181</v>
      </c>
      <c r="C54" s="231" t="inlineStr">
        <is>
          <t>JV-0034</t>
        </is>
      </c>
      <c r="D54" s="242" t="inlineStr">
        <is>
          <t>Ch# 10324046 issued to PRF</t>
        </is>
      </c>
      <c r="E54" s="233" t="inlineStr">
        <is>
          <t>53400 · Government &amp; Regulatory Fees</t>
        </is>
      </c>
      <c r="F54" s="233" t="inlineStr">
        <is>
          <t>PRF</t>
        </is>
      </c>
      <c r="G54" s="243" t="inlineStr">
        <is>
          <t>FMH</t>
        </is>
      </c>
      <c r="H54" s="234" t="n">
        <v>850000</v>
      </c>
    </row>
    <row r="55" ht="25" customHeight="1">
      <c r="B55" s="230" t="n">
        <v>46181</v>
      </c>
      <c r="C55" s="231" t="inlineStr">
        <is>
          <t>JV-0057</t>
        </is>
      </c>
      <c r="D55" s="242" t="inlineStr">
        <is>
          <t>Paid to Jawad - two colour print map of Karkhano - KBH ref CPV-8328</t>
        </is>
      </c>
      <c r="E55" s="233" t="inlineStr">
        <is>
          <t>60300 · Marketing Printing &amp; Material</t>
        </is>
      </c>
      <c r="F55" s="233" t="inlineStr">
        <is>
          <t>Jawad</t>
        </is>
      </c>
      <c r="G55" s="243" t="inlineStr">
        <is>
          <t>KBH</t>
        </is>
      </c>
      <c r="H55" s="234" t="n">
        <v>3000</v>
      </c>
    </row>
    <row r="56" ht="25" customHeight="1">
      <c r="B56" s="230" t="n">
        <v>46182</v>
      </c>
      <c r="C56" s="231" t="inlineStr">
        <is>
          <t>JV-0035</t>
        </is>
      </c>
      <c r="D56" s="242" t="inlineStr">
        <is>
          <t>Ch# 10324047 issued for soil testing by Eng Hamza</t>
        </is>
      </c>
      <c r="E56" s="233" t="inlineStr">
        <is>
          <t>53200 · Soil Testing &amp; Survey</t>
        </is>
      </c>
      <c r="F56" s="233" t="inlineStr">
        <is>
          <t>Eng Hamza</t>
        </is>
      </c>
      <c r="G56" s="243" t="inlineStr">
        <is>
          <t>FMH</t>
        </is>
      </c>
      <c r="H56" s="234" t="n">
        <v>100000</v>
      </c>
    </row>
    <row r="57" ht="25" customHeight="1">
      <c r="B57" s="230" t="n">
        <v>46182</v>
      </c>
      <c r="C57" s="231" t="inlineStr">
        <is>
          <t>JV-0036</t>
        </is>
      </c>
      <c r="D57" s="242" t="inlineStr">
        <is>
          <t>Ch# 10324048 issued for KPRA payment by Yousaf saib</t>
        </is>
      </c>
      <c r="E57" s="233" t="inlineStr">
        <is>
          <t>53400 · Government &amp; Regulatory Fees</t>
        </is>
      </c>
      <c r="F57" s="233" t="inlineStr">
        <is>
          <t>KPRA</t>
        </is>
      </c>
      <c r="G57" s="243" t="inlineStr">
        <is>
          <t>FMH</t>
        </is>
      </c>
      <c r="H57" s="234" t="n">
        <v>350000</v>
      </c>
    </row>
    <row r="58" ht="25" customHeight="1">
      <c r="B58" s="230" t="n">
        <v>46184</v>
      </c>
      <c r="C58" s="231" t="inlineStr">
        <is>
          <t>JV-0037</t>
        </is>
      </c>
      <c r="D58" s="242" t="inlineStr">
        <is>
          <t>Ch# 10324043 issued to PDA</t>
        </is>
      </c>
      <c r="E58" s="233" t="inlineStr">
        <is>
          <t>53500 · Regulatory &amp; Facilitation</t>
        </is>
      </c>
      <c r="F58" s="233" t="inlineStr">
        <is>
          <t>PDA</t>
        </is>
      </c>
      <c r="G58" s="243" t="inlineStr">
        <is>
          <t>FMH</t>
        </is>
      </c>
      <c r="H58" s="234" t="n">
        <v>375000</v>
      </c>
    </row>
    <row r="59" ht="25" customHeight="1">
      <c r="B59" s="230" t="n">
        <v>46184</v>
      </c>
      <c r="C59" s="231" t="inlineStr">
        <is>
          <t>JV-0038</t>
        </is>
      </c>
      <c r="D59" s="242" t="inlineStr">
        <is>
          <t>Paid to Yousaf saib as NOC payment PDA</t>
        </is>
      </c>
      <c r="E59" s="233" t="inlineStr">
        <is>
          <t>53300 · NOC &amp; Approvals</t>
        </is>
      </c>
      <c r="F59" s="233" t="inlineStr">
        <is>
          <t>Syed Yousaf Shah</t>
        </is>
      </c>
      <c r="G59" s="243" t="inlineStr">
        <is>
          <t>FMH</t>
        </is>
      </c>
      <c r="H59" s="234" t="n">
        <v>50000</v>
      </c>
    </row>
    <row r="60" ht="25" customHeight="1">
      <c r="B60" s="230" t="n">
        <v>46184</v>
      </c>
      <c r="C60" s="231" t="inlineStr">
        <is>
          <t>JV-0039</t>
        </is>
      </c>
      <c r="D60" s="242" t="inlineStr">
        <is>
          <t>Paid to Fayyaz for A3 map printing</t>
        </is>
      </c>
      <c r="E60" s="233" t="inlineStr">
        <is>
          <t>60300 · Marketing Printing &amp; Material</t>
        </is>
      </c>
      <c r="F60" s="233" t="inlineStr">
        <is>
          <t>Fayyaz Printing</t>
        </is>
      </c>
      <c r="G60" s="243" t="inlineStr">
        <is>
          <t>FMH</t>
        </is>
      </c>
      <c r="H60" s="234" t="n">
        <v>1500</v>
      </c>
    </row>
    <row r="61" ht="25" customHeight="1">
      <c r="B61" s="230" t="n">
        <v>46184</v>
      </c>
      <c r="C61" s="231" t="inlineStr">
        <is>
          <t>JV-0040</t>
        </is>
      </c>
      <c r="D61" s="242" t="inlineStr">
        <is>
          <t>Paid to RX Printings for Awami Market printing</t>
        </is>
      </c>
      <c r="E61" s="233" t="inlineStr">
        <is>
          <t>60300 · Marketing Printing &amp; Material</t>
        </is>
      </c>
      <c r="F61" s="233" t="inlineStr">
        <is>
          <t>RX Printings</t>
        </is>
      </c>
      <c r="G61" s="243" t="inlineStr">
        <is>
          <t>FMH</t>
        </is>
      </c>
      <c r="H61" s="234" t="n">
        <v>28000</v>
      </c>
    </row>
    <row r="62" ht="25" customHeight="1">
      <c r="B62" s="230" t="n">
        <v>46185</v>
      </c>
      <c r="C62" s="231" t="inlineStr">
        <is>
          <t>JV-0041</t>
        </is>
      </c>
      <c r="D62" s="242" t="inlineStr">
        <is>
          <t>Paid for Kharkhano map A6 size printing</t>
        </is>
      </c>
      <c r="E62" s="233" t="inlineStr">
        <is>
          <t>60300 · Marketing Printing &amp; Material</t>
        </is>
      </c>
      <c r="F62" s="233" t="inlineStr"/>
      <c r="G62" s="243" t="inlineStr">
        <is>
          <t>FMH</t>
        </is>
      </c>
      <c r="H62" s="234" t="n">
        <v>5200</v>
      </c>
    </row>
    <row r="63" ht="25" customHeight="1">
      <c r="B63" s="230" t="n">
        <v>46190</v>
      </c>
      <c r="C63" s="231" t="inlineStr">
        <is>
          <t>JV-0042</t>
        </is>
      </c>
      <c r="D63" s="242" t="inlineStr">
        <is>
          <t>Paid to Momain photocopy online</t>
        </is>
      </c>
      <c r="E63" s="233" t="inlineStr">
        <is>
          <t>70500 · Printing &amp; Stationery</t>
        </is>
      </c>
      <c r="F63" s="233" t="inlineStr">
        <is>
          <t>Momain Photocopy</t>
        </is>
      </c>
      <c r="G63" s="243" t="inlineStr">
        <is>
          <t>FMH</t>
        </is>
      </c>
      <c r="H63" s="234" t="n">
        <v>18250</v>
      </c>
    </row>
    <row r="64" ht="25" customHeight="1">
      <c r="B64" s="230" t="n">
        <v>46196</v>
      </c>
      <c r="C64" s="231" t="inlineStr">
        <is>
          <t>JV-0058</t>
        </is>
      </c>
      <c r="D64" s="242" t="inlineStr">
        <is>
          <t>Paid to Jawad - printing map of Awami Market - KBH ref CPV-8444</t>
        </is>
      </c>
      <c r="E64" s="233" t="inlineStr">
        <is>
          <t>60300 · Marketing Printing &amp; Material</t>
        </is>
      </c>
      <c r="F64" s="233" t="inlineStr">
        <is>
          <t>Jawad</t>
        </is>
      </c>
      <c r="G64" s="243" t="inlineStr">
        <is>
          <t>KBH</t>
        </is>
      </c>
      <c r="H64" s="234" t="n">
        <v>3000</v>
      </c>
    </row>
    <row r="65" ht="25" customHeight="1">
      <c r="B65" s="230" t="n">
        <v>46203</v>
      </c>
      <c r="C65" s="231" t="inlineStr">
        <is>
          <t>JV-0059</t>
        </is>
      </c>
      <c r="D65" s="242" t="inlineStr">
        <is>
          <t>Paid to Jawad - colour print map A1, eight copies - KBH ref CPV-8497</t>
        </is>
      </c>
      <c r="E65" s="233" t="inlineStr">
        <is>
          <t>60300 · Marketing Printing &amp; Material</t>
        </is>
      </c>
      <c r="F65" s="233" t="inlineStr">
        <is>
          <t>Jawad</t>
        </is>
      </c>
      <c r="G65" s="243" t="inlineStr">
        <is>
          <t>KBH</t>
        </is>
      </c>
      <c r="H65" s="234" t="n">
        <v>15500</v>
      </c>
    </row>
    <row r="66" ht="25" customHeight="1">
      <c r="B66" s="230" t="n">
        <v>46206</v>
      </c>
      <c r="C66" s="231" t="inlineStr">
        <is>
          <t>JV-0060</t>
        </is>
      </c>
      <c r="D66" s="242" t="inlineStr">
        <is>
          <t>Paid online to Asif Akhtar for 3D animation, through Jawad - KBH ref CPV-8526</t>
        </is>
      </c>
      <c r="E66" s="233" t="inlineStr">
        <is>
          <t>60100 · Advertising &amp; Promotion</t>
        </is>
      </c>
      <c r="F66" s="233" t="inlineStr">
        <is>
          <t>Asif Akhtar</t>
        </is>
      </c>
      <c r="G66" s="243" t="inlineStr">
        <is>
          <t>KBH</t>
        </is>
      </c>
      <c r="H66" s="234" t="n">
        <v>50000</v>
      </c>
    </row>
    <row r="67" ht="25" customHeight="1">
      <c r="B67" s="230" t="n">
        <v>46218</v>
      </c>
      <c r="C67" s="231" t="inlineStr">
        <is>
          <t>JV-0061</t>
        </is>
      </c>
      <c r="D67" s="242" t="inlineStr">
        <is>
          <t>Paid online to Asif Akhtar for 3D animation, through Jawad - KBH ref CPV-8624</t>
        </is>
      </c>
      <c r="E67" s="233" t="inlineStr">
        <is>
          <t>60100 · Advertising &amp; Promotion</t>
        </is>
      </c>
      <c r="F67" s="233" t="inlineStr">
        <is>
          <t>Asif Akhtar</t>
        </is>
      </c>
      <c r="G67" s="243" t="inlineStr">
        <is>
          <t>KBH</t>
        </is>
      </c>
      <c r="H67" s="234" t="n">
        <v>50000</v>
      </c>
    </row>
    <row r="68" ht="25" customHeight="1">
      <c r="B68" s="230" t="n">
        <v>46224</v>
      </c>
      <c r="C68" s="231" t="inlineStr">
        <is>
          <t>JV-0043</t>
        </is>
      </c>
      <c r="D68" s="242" t="inlineStr">
        <is>
          <t>Paid to Sabir for structure design</t>
        </is>
      </c>
      <c r="E68" s="233" t="inlineStr">
        <is>
          <t>53100 · Architecture, Design &amp; Drawings</t>
        </is>
      </c>
      <c r="F68" s="233" t="inlineStr">
        <is>
          <t>Sabir</t>
        </is>
      </c>
      <c r="G68" s="243" t="inlineStr">
        <is>
          <t>FMH</t>
        </is>
      </c>
      <c r="H68" s="234" t="n">
        <v>500000</v>
      </c>
    </row>
    <row r="69" ht="25" customHeight="1">
      <c r="B69" s="230" t="n">
        <v>46242</v>
      </c>
      <c r="C69" s="231" t="inlineStr">
        <is>
          <t>JV-0062</t>
        </is>
      </c>
      <c r="D69" s="242" t="inlineStr">
        <is>
          <t>Paid online to Asif Akhtar for 3D animation by Syed Yousaf Shah, deducted from his loan - KBH ref JV-924</t>
        </is>
      </c>
      <c r="E69" s="233" t="inlineStr">
        <is>
          <t>60100 · Advertising &amp; Promotion</t>
        </is>
      </c>
      <c r="F69" s="233" t="inlineStr">
        <is>
          <t>Asif Akhtar</t>
        </is>
      </c>
      <c r="G69" s="243" t="inlineStr">
        <is>
          <t>KBH</t>
        </is>
      </c>
      <c r="H69" s="234" t="n">
        <v>100000</v>
      </c>
    </row>
    <row r="70" ht="25" customHeight="1">
      <c r="B70" s="230" t="n">
        <v>46258</v>
      </c>
      <c r="C70" s="231" t="inlineStr">
        <is>
          <t>JV-0064</t>
        </is>
      </c>
      <c r="D70" s="242" t="inlineStr">
        <is>
          <t>Speed money to Waqar Ahmed for Karkhano, deducted from Syed Yousaf Shah loan - KBH ref JV-942</t>
        </is>
      </c>
      <c r="E70" s="233" t="inlineStr">
        <is>
          <t>53500 · Regulatory &amp; Facilitation</t>
        </is>
      </c>
      <c r="F70" s="233" t="inlineStr">
        <is>
          <t>Waqar Ahmad</t>
        </is>
      </c>
      <c r="G70" s="243" t="inlineStr">
        <is>
          <t>KBH</t>
        </is>
      </c>
      <c r="H70" s="234" t="n">
        <v>20000</v>
      </c>
    </row>
    <row r="71" ht="25" customHeight="1">
      <c r="B71" s="230" t="n">
        <v>46272</v>
      </c>
      <c r="C71" s="231" t="inlineStr">
        <is>
          <t>JV-0045</t>
        </is>
      </c>
      <c r="D71" s="242" t="inlineStr">
        <is>
          <t>Dinner with clients by Syed Yousaf Shah</t>
        </is>
      </c>
      <c r="E71" s="233" t="inlineStr">
        <is>
          <t>60400 · Events &amp; Client Entertainment</t>
        </is>
      </c>
      <c r="F71" s="233" t="inlineStr"/>
      <c r="G71" s="243" t="inlineStr">
        <is>
          <t>Syed Yousaf Shah</t>
        </is>
      </c>
      <c r="H71" s="234" t="n">
        <v>43600</v>
      </c>
    </row>
    <row r="72" ht="25" customHeight="1">
      <c r="B72" s="230" t="n">
        <v>46275</v>
      </c>
      <c r="C72" s="231" t="inlineStr">
        <is>
          <t>JV-0046</t>
        </is>
      </c>
      <c r="D72" s="242" t="inlineStr">
        <is>
          <t>Karkhano map printing</t>
        </is>
      </c>
      <c r="E72" s="233" t="inlineStr">
        <is>
          <t>60300 · Marketing Printing &amp; Material</t>
        </is>
      </c>
      <c r="F72" s="233" t="inlineStr"/>
      <c r="G72" s="243" t="inlineStr">
        <is>
          <t>Syed Yousaf Shah</t>
        </is>
      </c>
      <c r="H72" s="234" t="n">
        <v>16000</v>
      </c>
    </row>
    <row r="73" ht="25" customHeight="1">
      <c r="B73" s="230" t="n">
        <v>46276</v>
      </c>
      <c r="C73" s="231" t="inlineStr">
        <is>
          <t>JV-0047</t>
        </is>
      </c>
      <c r="D73" s="242" t="inlineStr">
        <is>
          <t>Khatam ul Quran</t>
        </is>
      </c>
      <c r="E73" s="233" t="inlineStr">
        <is>
          <t>81100 · Donations, Sadqa &amp; Khairat</t>
        </is>
      </c>
      <c r="F73" s="233" t="inlineStr"/>
      <c r="G73" s="243" t="inlineStr">
        <is>
          <t>Syed Yousaf Shah</t>
        </is>
      </c>
      <c r="H73" s="234" t="n">
        <v>27000</v>
      </c>
    </row>
    <row r="74" ht="25" customHeight="1">
      <c r="B74" s="230" t="n">
        <v>46278</v>
      </c>
      <c r="C74" s="231" t="inlineStr">
        <is>
          <t>JV-0050</t>
        </is>
      </c>
      <c r="D74" s="242" t="inlineStr">
        <is>
          <t>Khairat at Karkhano</t>
        </is>
      </c>
      <c r="E74" s="233" t="inlineStr">
        <is>
          <t>81100 · Donations, Sadqa &amp; Khairat</t>
        </is>
      </c>
      <c r="F74" s="233" t="inlineStr"/>
      <c r="G74" s="243" t="inlineStr">
        <is>
          <t>Syed Yousaf Shah</t>
        </is>
      </c>
      <c r="H74" s="234" t="n">
        <v>29000</v>
      </c>
    </row>
    <row r="75" ht="25" customHeight="1">
      <c r="B75" s="237">
        <f>"FMH "&amp;TEXT(SUMIFS(H41:H81,G41:G81,"FMH"),"#,##0")&amp;"   ·   KBH "&amp;TEXT(SUMIFS(H41:H81,G41:G81,"KBH"),"#,##0")&amp;"   ·   Yousaf Shah "&amp;TEXT(SUMIFS(H41:H81,G41:G81,"Syed Yousaf Shah"),"#,##0")</f>
        <v/>
      </c>
      <c r="C75" s="35" t="n"/>
      <c r="D75" s="35" t="n"/>
      <c r="E75" s="35" t="n"/>
      <c r="F75" s="35" t="n"/>
      <c r="G75" s="238">
        <f>"FMH "&amp;TEXT(SUMIFS(H41:H74,G41:G74,"FMH"),"#,##0")&amp;"   ·   KBH "&amp;TEXT(SUMIFS(H41:H74,G41:G74,"KBH"),"#,##0")&amp;"   ·   Yousaf Shah "&amp;TEXT(SUMIFS(H41:H74,G41:G74,"Syed Yousaf Shah"),"#,##0")</f>
        <v/>
      </c>
      <c r="H75" s="244">
        <f>SUM(H41:H74)</f>
        <v/>
      </c>
    </row>
    <row r="76" ht="36" customHeight="1"/>
    <row r="77" ht="36" customHeight="1">
      <c r="A77" s="166" t="n"/>
      <c r="B77" s="173" t="inlineStr">
        <is>
          <t>Money moved between parties</t>
        </is>
      </c>
      <c r="C77" s="1" t="n"/>
      <c r="D77" s="1" t="n"/>
      <c r="E77" s="1" t="n"/>
      <c r="F77" s="1" t="n"/>
      <c r="G77" s="1" t="n"/>
      <c r="H77" s="219" t="inlineStr">
        <is>
          <t>Handed over or lent · no income or expense</t>
        </is>
      </c>
    </row>
    <row r="78" ht="25" customHeight="1">
      <c r="B78" s="220" t="inlineStr">
        <is>
          <t>Date</t>
        </is>
      </c>
      <c r="C78" s="220" t="inlineStr">
        <is>
          <t>Voucher</t>
        </is>
      </c>
      <c r="D78" s="220" t="inlineStr">
        <is>
          <t>Description</t>
        </is>
      </c>
      <c r="E78" s="220" t="inlineStr">
        <is>
          <t>From</t>
        </is>
      </c>
      <c r="F78" s="220" t="inlineStr">
        <is>
          <t>To</t>
        </is>
      </c>
      <c r="G78" s="6" t="n"/>
      <c r="H78" s="221" t="inlineStr">
        <is>
          <t>Amount</t>
        </is>
      </c>
    </row>
    <row r="79" ht="25" customHeight="1">
      <c r="B79" s="230" t="n">
        <v>46181</v>
      </c>
      <c r="C79" s="231" t="inlineStr">
        <is>
          <t>JV-0056</t>
        </is>
      </c>
      <c r="D79" s="242" t="inlineStr">
        <is>
          <t>Cash handed over to Syed Yousaf Shah through Jawad - KBH ref CPV-8327</t>
        </is>
      </c>
      <c r="E79" s="222" t="inlineStr">
        <is>
          <t>KBH</t>
        </is>
      </c>
      <c r="F79" s="222" t="inlineStr">
        <is>
          <t>Syed Yousaf Shah</t>
        </is>
      </c>
      <c r="G79" s="21" t="n"/>
      <c r="H79" s="234" t="n">
        <v>1000000</v>
      </c>
    </row>
    <row r="80" ht="25" customHeight="1">
      <c r="B80" s="230" t="n">
        <v>46253</v>
      </c>
      <c r="C80" s="231" t="inlineStr">
        <is>
          <t>JV-0063</t>
        </is>
      </c>
      <c r="D80" s="242" t="inlineStr">
        <is>
          <t>Cash of unit UG-06, Arbab Zubair Khan, CRV-10013, taken by Syed Yousaf Shah - KBH ref JV-939</t>
        </is>
      </c>
      <c r="E80" s="222" t="inlineStr">
        <is>
          <t>KBH</t>
        </is>
      </c>
      <c r="F80" s="222" t="inlineStr">
        <is>
          <t>Syed Yousaf Shah</t>
        </is>
      </c>
      <c r="G80" s="21" t="n"/>
      <c r="H80" s="234" t="n">
        <v>4900000</v>
      </c>
    </row>
    <row r="81" ht="25" customHeight="1">
      <c r="B81" s="230" t="n">
        <v>46272</v>
      </c>
      <c r="C81" s="231" t="inlineStr">
        <is>
          <t>JV-0044</t>
        </is>
      </c>
      <c r="D81" s="242" t="inlineStr">
        <is>
          <t>Paid to Ismail and Mikael, FMH landlord, as loan to FMH</t>
        </is>
      </c>
      <c r="E81" s="222" t="inlineStr">
        <is>
          <t>Syed Yousaf Shah</t>
        </is>
      </c>
      <c r="F81" s="222" t="inlineStr">
        <is>
          <t>FMH</t>
        </is>
      </c>
      <c r="G81" s="21" t="n"/>
      <c r="H81" s="234" t="n">
        <v>1000000</v>
      </c>
    </row>
    <row r="82" ht="16" customHeight="1">
      <c r="B82" s="230" t="n">
        <v>46276</v>
      </c>
      <c r="C82" s="231" t="inlineStr">
        <is>
          <t>JV-0015</t>
        </is>
      </c>
      <c r="D82" s="242" t="inlineStr">
        <is>
          <t>Token money handed over by FMH office</t>
        </is>
      </c>
      <c r="E82" s="222" t="inlineStr">
        <is>
          <t>FMH</t>
        </is>
      </c>
      <c r="F82" s="222" t="inlineStr">
        <is>
          <t>Syed Yousaf Shah</t>
        </is>
      </c>
      <c r="G82" s="21" t="n"/>
      <c r="H82" s="234" t="n">
        <v>2300000</v>
      </c>
    </row>
    <row r="83">
      <c r="B83" s="230" t="n">
        <v>46277</v>
      </c>
      <c r="C83" s="231" t="inlineStr">
        <is>
          <t>JV-0048</t>
        </is>
      </c>
      <c r="D83" s="242" t="inlineStr">
        <is>
          <t>Paid for FMH head office construction</t>
        </is>
      </c>
      <c r="E83" s="222" t="inlineStr">
        <is>
          <t>Syed Yousaf Shah</t>
        </is>
      </c>
      <c r="F83" s="222" t="inlineStr">
        <is>
          <t>FMH</t>
        </is>
      </c>
      <c r="G83" s="21" t="n"/>
      <c r="H83" s="234" t="n">
        <v>76500</v>
      </c>
    </row>
    <row r="84" ht="18" customHeight="1">
      <c r="B84" s="230" t="n">
        <v>46277</v>
      </c>
      <c r="C84" s="231" t="inlineStr">
        <is>
          <t>JV-0049</t>
        </is>
      </c>
      <c r="D84" s="242" t="inlineStr">
        <is>
          <t>Paid for FMH head office construction</t>
        </is>
      </c>
      <c r="E84" s="222" t="inlineStr">
        <is>
          <t>Syed Yousaf Shah</t>
        </is>
      </c>
      <c r="F84" s="222" t="inlineStr">
        <is>
          <t>FMH</t>
        </is>
      </c>
      <c r="G84" s="21" t="n"/>
      <c r="H84" s="234" t="n">
        <v>73000</v>
      </c>
    </row>
    <row r="85" ht="14" customHeight="1">
      <c r="B85" s="230" t="n">
        <v>46278</v>
      </c>
      <c r="C85" s="231" t="inlineStr">
        <is>
          <t>JV-0051</t>
        </is>
      </c>
      <c r="D85" s="242" t="inlineStr">
        <is>
          <t>Paid for FMH head office construction, bricks</t>
        </is>
      </c>
      <c r="E85" s="222" t="inlineStr">
        <is>
          <t>Syed Yousaf Shah</t>
        </is>
      </c>
      <c r="F85" s="222" t="inlineStr">
        <is>
          <t>FMH</t>
        </is>
      </c>
      <c r="G85" s="21" t="n"/>
      <c r="H85" s="234" t="n">
        <v>74000</v>
      </c>
    </row>
    <row r="86" ht="25" customHeight="1">
      <c r="B86" s="35" t="n"/>
      <c r="C86" s="35" t="n"/>
      <c r="D86" s="35" t="n"/>
      <c r="E86" s="35" t="n"/>
      <c r="F86" s="35" t="n"/>
      <c r="G86" s="238" t="inlineStr">
        <is>
          <t>Total moved</t>
        </is>
      </c>
      <c r="H86" s="245">
        <f>SUM(H79:H85)</f>
        <v/>
      </c>
    </row>
    <row r="87" ht="25" customHeight="1"/>
    <row r="88" ht="25" customHeight="1">
      <c r="A88" s="166" t="n"/>
      <c r="B88" s="173" t="inlineStr">
        <is>
          <t>Summary by head</t>
        </is>
      </c>
      <c r="C88" s="1" t="n"/>
      <c r="D88" s="1" t="n"/>
      <c r="E88" s="1" t="n"/>
      <c r="F88" s="1" t="n"/>
      <c r="G88" s="1" t="n"/>
      <c r="H88" s="219" t="inlineStr">
        <is>
          <t>Expenses and assets charged</t>
        </is>
      </c>
    </row>
    <row r="89" ht="14" customHeight="1">
      <c r="B89" s="220" t="inlineStr">
        <is>
          <t>Code</t>
        </is>
      </c>
      <c r="C89" s="220" t="inlineStr">
        <is>
          <t>Head</t>
        </is>
      </c>
      <c r="D89" s="6" t="n"/>
      <c r="E89" s="6" t="n"/>
      <c r="F89" s="6" t="n"/>
      <c r="G89" s="6" t="n"/>
      <c r="H89" s="221" t="inlineStr">
        <is>
          <t>Amount</t>
        </is>
      </c>
    </row>
    <row r="90" ht="14" customHeight="1">
      <c r="B90" s="222" t="n">
        <v>15300</v>
      </c>
      <c r="C90" s="223" t="inlineStr">
        <is>
          <t>Computer &amp; IT Equipment</t>
        </is>
      </c>
      <c r="D90" s="59" t="n"/>
      <c r="E90" s="59" t="n"/>
      <c r="F90" s="243" t="inlineStr">
        <is>
          <t>Fixed Assets</t>
        </is>
      </c>
      <c r="G90" s="21" t="n"/>
      <c r="H90" s="225">
        <f>SUMIFS(Entries!$G$2:$G$155,Entries!$C$2:$C$155,"Fixed Assets:Computer &amp; IT Equipment",Entries!$J$2:$J$155,"16-Sep")-SUMIFS(Entries!$H$2:$H$155,Entries!$C$2:$C$155,"Fixed Assets:Computer &amp; IT Equipment",Entries!$J$2:$J$155,"16-Sep")</f>
        <v/>
      </c>
    </row>
    <row r="91" ht="14" customHeight="1">
      <c r="B91" s="222" t="n">
        <v>16100</v>
      </c>
      <c r="C91" s="223" t="inlineStr">
        <is>
          <t>Software &amp; Licences</t>
        </is>
      </c>
      <c r="D91" s="59" t="n"/>
      <c r="E91" s="59" t="n"/>
      <c r="F91" s="243" t="inlineStr">
        <is>
          <t>Other Assets</t>
        </is>
      </c>
      <c r="G91" s="21" t="n"/>
      <c r="H91" s="225">
        <f>SUMIFS(Entries!$G$2:$G$155,Entries!$C$2:$C$155,"Other Assets:Software &amp; Licences",Entries!$J$2:$J$155,"16-Sep")-SUMIFS(Entries!$H$2:$H$155,Entries!$C$2:$C$155,"Other Assets:Software &amp; Licences",Entries!$J$2:$J$155,"16-Sep")</f>
        <v/>
      </c>
    </row>
    <row r="92" ht="14" customHeight="1">
      <c r="B92" s="222" t="n">
        <v>51100</v>
      </c>
      <c r="C92" s="223" t="inlineStr">
        <is>
          <t>Land Purchase Cost</t>
        </is>
      </c>
      <c r="D92" s="59" t="n"/>
      <c r="E92" s="59" t="n"/>
      <c r="F92" s="243" t="inlineStr">
        <is>
          <t>Cost of Sales</t>
        </is>
      </c>
      <c r="G92" s="21" t="n"/>
      <c r="H92" s="225">
        <f>SUMIFS(Entries!$G$2:$G$155,Entries!$C$2:$C$155,"Cost of Sales:Land Cost:Land Purchase Cost")-SUMIFS(Entries!$H$2:$H$155,Entries!$C$2:$C$155,"Cost of Sales:Land Cost:Land Purchase Cost")</f>
        <v/>
      </c>
    </row>
    <row r="93" ht="16" customHeight="1">
      <c r="B93" s="222" t="n">
        <v>53100</v>
      </c>
      <c r="C93" s="223" t="inlineStr">
        <is>
          <t>Architecture, Design &amp; Drawings</t>
        </is>
      </c>
      <c r="D93" s="59" t="n"/>
      <c r="E93" s="59" t="n"/>
      <c r="F93" s="243" t="inlineStr">
        <is>
          <t>Cost of Sales</t>
        </is>
      </c>
      <c r="G93" s="21" t="n"/>
      <c r="H93" s="225">
        <f>SUMIFS(Entries!$G$2:$G$155,Entries!$C$2:$C$155,"Cost of Sales:Project Development Cost:Architecture, Design &amp; Drawings")-SUMIFS(Entries!$H$2:$H$155,Entries!$C$2:$C$155,"Cost of Sales:Project Development Cost:Architecture, Design &amp; Drawings")</f>
        <v/>
      </c>
    </row>
    <row r="94">
      <c r="B94" s="222" t="n">
        <v>53200</v>
      </c>
      <c r="C94" s="223" t="inlineStr">
        <is>
          <t>Soil Testing &amp; Survey</t>
        </is>
      </c>
      <c r="D94" s="59" t="n"/>
      <c r="E94" s="59" t="n"/>
      <c r="F94" s="243" t="inlineStr">
        <is>
          <t>Cost of Sales</t>
        </is>
      </c>
      <c r="G94" s="21" t="n"/>
      <c r="H94" s="225">
        <f>SUMIFS(Entries!$G$2:$G$155,Entries!$C$2:$C$155,"Cost of Sales:Project Development Cost:Soil Testing &amp; Survey")-SUMIFS(Entries!$H$2:$H$155,Entries!$C$2:$C$155,"Cost of Sales:Project Development Cost:Soil Testing &amp; Survey")</f>
        <v/>
      </c>
    </row>
    <row r="95" ht="18" customHeight="1">
      <c r="B95" s="222" t="n">
        <v>53300</v>
      </c>
      <c r="C95" s="223" t="inlineStr">
        <is>
          <t>NOC &amp; Approvals</t>
        </is>
      </c>
      <c r="D95" s="59" t="n"/>
      <c r="E95" s="59" t="n"/>
      <c r="F95" s="243" t="inlineStr">
        <is>
          <t>Cost of Sales</t>
        </is>
      </c>
      <c r="G95" s="21" t="n"/>
      <c r="H95" s="225">
        <f>SUMIFS(Entries!$G$2:$G$155,Entries!$C$2:$C$155,"Cost of Sales:Project Development Cost:NOC &amp; Approvals")-SUMIFS(Entries!$H$2:$H$155,Entries!$C$2:$C$155,"Cost of Sales:Project Development Cost:NOC &amp; Approvals")</f>
        <v/>
      </c>
    </row>
    <row r="96" ht="14" customHeight="1">
      <c r="B96" s="222" t="n">
        <v>53400</v>
      </c>
      <c r="C96" s="223" t="inlineStr">
        <is>
          <t>Government &amp; Regulatory Fees</t>
        </is>
      </c>
      <c r="D96" s="59" t="n"/>
      <c r="E96" s="59" t="n"/>
      <c r="F96" s="243" t="inlineStr">
        <is>
          <t>Cost of Sales</t>
        </is>
      </c>
      <c r="G96" s="21" t="n"/>
      <c r="H96" s="225">
        <f>SUMIFS(Entries!$G$2:$G$155,Entries!$C$2:$C$155,"Cost of Sales:Project Development Cost:Government &amp; Regulatory Fees")-SUMIFS(Entries!$H$2:$H$155,Entries!$C$2:$C$155,"Cost of Sales:Project Development Cost:Government &amp; Regulatory Fees")</f>
        <v/>
      </c>
    </row>
    <row r="97" ht="14" customHeight="1">
      <c r="B97" s="222" t="n">
        <v>53500</v>
      </c>
      <c r="C97" s="223" t="inlineStr">
        <is>
          <t>Regulatory &amp; Facilitation</t>
        </is>
      </c>
      <c r="D97" s="59" t="n"/>
      <c r="E97" s="59" t="n"/>
      <c r="F97" s="243" t="inlineStr">
        <is>
          <t>Cost of Sales</t>
        </is>
      </c>
      <c r="G97" s="21" t="n"/>
      <c r="H97" s="225">
        <f>SUMIFS(Entries!$G$2:$G$155,Entries!$C$2:$C$155,"Cost of Sales:Project Development Cost:Regulatory &amp; Facilitation")-SUMIFS(Entries!$H$2:$H$155,Entries!$C$2:$C$155,"Cost of Sales:Project Development Cost:Regulatory &amp; Facilitation")</f>
        <v/>
      </c>
    </row>
    <row r="98" ht="14" customHeight="1">
      <c r="B98" s="222" t="n">
        <v>60100</v>
      </c>
      <c r="C98" s="223" t="inlineStr">
        <is>
          <t>Advertising &amp; Promotion</t>
        </is>
      </c>
      <c r="D98" s="59" t="n"/>
      <c r="E98" s="59" t="n"/>
      <c r="F98" s="243" t="inlineStr">
        <is>
          <t>Marketing &amp; Sales Expenses</t>
        </is>
      </c>
      <c r="G98" s="21" t="n"/>
      <c r="H98" s="225">
        <f>SUMIFS(Entries!$G$2:$G$155,Entries!$C$2:$C$155,"Marketing &amp; Sales Expenses:Advertising &amp; Promotion")-SUMIFS(Entries!$H$2:$H$155,Entries!$C$2:$C$155,"Marketing &amp; Sales Expenses:Advertising &amp; Promotion")</f>
        <v/>
      </c>
    </row>
    <row r="99" ht="14" customHeight="1">
      <c r="B99" s="222" t="n">
        <v>60300</v>
      </c>
      <c r="C99" s="223" t="inlineStr">
        <is>
          <t>Marketing Printing &amp; Material</t>
        </is>
      </c>
      <c r="D99" s="59" t="n"/>
      <c r="E99" s="59" t="n"/>
      <c r="F99" s="243" t="inlineStr">
        <is>
          <t>Marketing &amp; Sales Expenses</t>
        </is>
      </c>
      <c r="G99" s="21" t="n"/>
      <c r="H99" s="225">
        <f>SUMIFS(Entries!$G$2:$G$155,Entries!$C$2:$C$155,"Marketing &amp; Sales Expenses:Marketing Printing &amp; Material")-SUMIFS(Entries!$H$2:$H$155,Entries!$C$2:$C$155,"Marketing &amp; Sales Expenses:Marketing Printing &amp; Material")</f>
        <v/>
      </c>
    </row>
    <row r="100" ht="14" customHeight="1">
      <c r="B100" s="222" t="n">
        <v>60400</v>
      </c>
      <c r="C100" s="223" t="inlineStr">
        <is>
          <t>Events &amp; Client Entertainment</t>
        </is>
      </c>
      <c r="D100" s="59" t="n"/>
      <c r="E100" s="59" t="n"/>
      <c r="F100" s="243" t="inlineStr">
        <is>
          <t>Marketing &amp; Sales Expenses</t>
        </is>
      </c>
      <c r="G100" s="21" t="n"/>
      <c r="H100" s="225">
        <f>SUMIFS(Entries!$G$2:$G$155,Entries!$C$2:$C$155,"Marketing &amp; Sales Expenses:Events &amp; Client Entertainment")-SUMIFS(Entries!$H$2:$H$155,Entries!$C$2:$C$155,"Marketing &amp; Sales Expenses:Events &amp; Client Entertainment")</f>
        <v/>
      </c>
    </row>
    <row r="101" ht="14" customHeight="1">
      <c r="B101" s="222" t="n">
        <v>70100</v>
      </c>
      <c r="C101" s="223" t="inlineStr">
        <is>
          <t>Salaries &amp; Wages</t>
        </is>
      </c>
      <c r="D101" s="59" t="n"/>
      <c r="E101" s="59" t="n"/>
      <c r="F101" s="243" t="inlineStr">
        <is>
          <t>Administrative Expenses</t>
        </is>
      </c>
      <c r="G101" s="21" t="n"/>
      <c r="H101" s="225">
        <f>SUMIFS(Entries!$G$2:$G$155,Entries!$C$2:$C$155,"Administrative Expenses:Salaries &amp; Wages",Entries!$J$2:$J$155,"16-Sep")-SUMIFS(Entries!$H$2:$H$155,Entries!$C$2:$C$155,"Administrative Expenses:Salaries &amp; Wages",Entries!$J$2:$J$155,"16-Sep")</f>
        <v/>
      </c>
    </row>
    <row r="102" ht="14" customHeight="1">
      <c r="B102" s="222" t="n">
        <v>70500</v>
      </c>
      <c r="C102" s="223" t="inlineStr">
        <is>
          <t>Printing &amp; Stationery</t>
        </is>
      </c>
      <c r="D102" s="59" t="n"/>
      <c r="E102" s="59" t="n"/>
      <c r="F102" s="243" t="inlineStr">
        <is>
          <t>Administrative Expenses</t>
        </is>
      </c>
      <c r="G102" s="21" t="n"/>
      <c r="H102" s="225">
        <f>SUMIFS(Entries!$G$2:$G$155,Entries!$C$2:$C$155,"Administrative Expenses:Printing &amp; Stationery")-SUMIFS(Entries!$H$2:$H$155,Entries!$C$2:$C$155,"Administrative Expenses:Printing &amp; Stationery")</f>
        <v/>
      </c>
    </row>
    <row r="103" ht="14" customHeight="1">
      <c r="B103" s="222" t="n">
        <v>81100</v>
      </c>
      <c r="C103" s="223" t="inlineStr">
        <is>
          <t>Donations, Sadqa &amp; Khairat</t>
        </is>
      </c>
      <c r="D103" s="59" t="n"/>
      <c r="E103" s="59" t="n"/>
      <c r="F103" s="243" t="inlineStr">
        <is>
          <t>Other Operating Expenses</t>
        </is>
      </c>
      <c r="G103" s="21" t="n"/>
      <c r="H103" s="225">
        <f>SUMIFS(Entries!$G$2:$G$155,Entries!$C$2:$C$155,"Other Operating Expenses:Donations, Sadqa &amp; Khairat")-SUMIFS(Entries!$H$2:$H$155,Entries!$C$2:$C$155,"Other Operating Expenses:Donations, Sadqa &amp; Khairat")</f>
        <v/>
      </c>
    </row>
    <row r="104" ht="14" customHeight="1">
      <c r="B104" s="35" t="n"/>
      <c r="C104" s="35" t="n"/>
      <c r="D104" s="35" t="n"/>
      <c r="E104" s="35" t="n"/>
      <c r="F104" s="35" t="n"/>
      <c r="G104" s="238" t="inlineStr">
        <is>
          <t>Total</t>
        </is>
      </c>
      <c r="H104" s="245">
        <f>SUM(H90:H103)</f>
        <v/>
      </c>
    </row>
    <row r="105" ht="14" customHeight="1"/>
    <row r="106" ht="14" customHeight="1">
      <c r="A106" s="166" t="n"/>
      <c r="B106" s="173" t="inlineStr">
        <is>
          <t>Checks</t>
        </is>
      </c>
      <c r="C106" s="1" t="n"/>
      <c r="D106" s="1" t="n"/>
      <c r="E106" s="1" t="n"/>
      <c r="F106" s="1" t="n"/>
      <c r="G106" s="1" t="n"/>
      <c r="H106" s="1" t="n"/>
    </row>
    <row r="107" ht="14" customHeight="1">
      <c r="B107" s="222" t="n">
        <v>1</v>
      </c>
      <c r="C107" s="246" t="inlineStr">
        <is>
          <t>Total debit equals total credit (all entries)</t>
        </is>
      </c>
      <c r="D107" s="59" t="n"/>
      <c r="E107" s="59" t="n"/>
      <c r="F107" s="59" t="n"/>
      <c r="G107" s="247" t="inlineStr">
        <is>
          <t>Must pass</t>
        </is>
      </c>
      <c r="H107" s="248">
        <f>IF(K107=0,"✓ OK",IF(G107="Review","! "&amp;K107&amp;" to review","✗ "&amp;K107&amp;" issue"))</f>
        <v/>
      </c>
      <c r="K107">
        <f>IF(ROUND(SUM(Entries!$G$2:$G$155)-SUM(Entries!$H$2:$H$155),2)=0,0,1)</f>
        <v/>
      </c>
    </row>
    <row r="108" ht="14" customHeight="1">
      <c r="B108" s="222" t="n">
        <v>2</v>
      </c>
      <c r="C108" s="246" t="inlineStr">
        <is>
          <t>Every account exists in the Awami Market COA</t>
        </is>
      </c>
      <c r="D108" s="59" t="n"/>
      <c r="E108" s="59" t="n"/>
      <c r="F108" s="59" t="n"/>
      <c r="G108" s="247" t="inlineStr">
        <is>
          <t>Must pass</t>
        </is>
      </c>
      <c r="H108" s="248">
        <f>IF(K108=0,"✓ OK",IF(G108="Review","! "&amp;K108&amp;" to review","✗ "&amp;K108&amp;" issue"))</f>
        <v/>
      </c>
      <c r="K108">
        <f>SUMPRODUCT((Entries!$D$2:$D$155="")*1)</f>
        <v/>
      </c>
    </row>
    <row r="109" ht="14" customHeight="1">
      <c r="B109" s="222" t="n">
        <v>3</v>
      </c>
      <c r="C109" s="246" t="inlineStr">
        <is>
          <t>Token table ties to account 21100</t>
        </is>
      </c>
      <c r="D109" s="59" t="n"/>
      <c r="E109" s="59" t="n"/>
      <c r="F109" s="59" t="n"/>
      <c r="G109" s="247" t="inlineStr">
        <is>
          <t>Must pass</t>
        </is>
      </c>
      <c r="H109" s="248">
        <f>IF(K109=0,"✓ OK",IF(G109="Review","! "&amp;K109&amp;" to review","✗ "&amp;K109&amp;" issue"))</f>
        <v/>
      </c>
      <c r="K109">
        <f>IF(ROUND(H37-(SUMIFS(Entries!$H$2:$H$155,Entries!$C$2:$C$155,"Customer Advances:Token Money - Units")-SUMIFS(Entries!$G$2:$G$155,Entries!$C$2:$C$155,"Customer Advances:Token Money - Units")),0)=0,0,1)</f>
        <v/>
      </c>
    </row>
    <row r="110" ht="14" customHeight="1">
      <c r="B110" s="222" t="n">
        <v>4</v>
      </c>
      <c r="C110" s="246" t="inlineStr">
        <is>
          <t>Payments + head summary tie</t>
        </is>
      </c>
      <c r="D110" s="59" t="n"/>
      <c r="E110" s="59" t="n"/>
      <c r="F110" s="59" t="n"/>
      <c r="G110" s="247" t="inlineStr">
        <is>
          <t>Must pass</t>
        </is>
      </c>
      <c r="H110" s="248">
        <f>IF(K110=0,"✓ OK",IF(G110="Review","! "&amp;K110&amp;" to review","✗ "&amp;K110&amp;" issue"))</f>
        <v/>
      </c>
      <c r="K110">
        <f>IF(ROUND(H75-H104,0)=0,0,1)</f>
        <v/>
      </c>
    </row>
    <row r="111" ht="16" customHeight="1">
      <c r="B111" s="222" t="n">
        <v>5</v>
      </c>
      <c r="C111" s="246" t="inlineStr">
        <is>
          <t>Cash in hand, petty and bank not negative</t>
        </is>
      </c>
      <c r="D111" s="59" t="n"/>
      <c r="E111" s="59" t="n"/>
      <c r="F111" s="59" t="n"/>
      <c r="G111" s="247" t="inlineStr">
        <is>
          <t>Must pass</t>
        </is>
      </c>
      <c r="H111" s="248">
        <f>IF(K111=0,"✓ OK",IF(G111="Review","! "&amp;K111&amp;" to review","✗ "&amp;K111&amp;" issue"))</f>
        <v/>
      </c>
      <c r="K111">
        <f>COUNTIF(H10:H12,"&lt;0")</f>
        <v/>
      </c>
    </row>
    <row r="112">
      <c r="B112" s="222" t="n">
        <v>6</v>
      </c>
      <c r="C112" s="246" t="inlineStr">
        <is>
          <t>Same cheque recorded twice: Ch# 10323992 (JV-0019 and JV-0020, 4,000,000 each)</t>
        </is>
      </c>
      <c r="D112" s="59" t="n"/>
      <c r="E112" s="59" t="n"/>
      <c r="F112" s="59" t="n"/>
      <c r="G112" s="247" t="inlineStr">
        <is>
          <t>Review</t>
        </is>
      </c>
      <c r="H112" s="248">
        <f>IF(K112=0,"✓ OK",IF(G112="Review","! "&amp;K112&amp;" to review","✗ "&amp;K112&amp;" issue"))</f>
        <v/>
      </c>
      <c r="K112">
        <f>MAX(0,COUNTIFS(Entries!$I$2:$I$155,"Ch# 10323992*",Entries!$G$2:$G$155,"&gt;0")-1)</f>
        <v/>
      </c>
    </row>
    <row r="113" ht="18" customHeight="1">
      <c r="B113" s="222" t="n">
        <v>7</v>
      </c>
      <c r="C113" s="246" t="inlineStr">
        <is>
          <t>Entries dated after today</t>
        </is>
      </c>
      <c r="D113" s="59" t="n"/>
      <c r="E113" s="59" t="n"/>
      <c r="F113" s="59" t="n"/>
      <c r="G113" s="247" t="inlineStr">
        <is>
          <t>Review</t>
        </is>
      </c>
      <c r="H113" s="248">
        <f>IF(K113=0,"✓ OK",IF(G113="Review","! "&amp;K113&amp;" to review","✗ "&amp;K113&amp;" issue"))</f>
        <v/>
      </c>
      <c r="K113">
        <f>COUNTIFS(Entries!$B$2:$B$155,"&gt;"&amp;TODAY(),Entries!$G$2:$G$155,"&gt;0")</f>
        <v/>
      </c>
    </row>
    <row r="114" ht="14.5" customHeight="1"/>
    <row r="115" ht="14.5" customHeight="1">
      <c r="B115" s="249" t="inlineStr">
        <is>
          <t>Remarks</t>
        </is>
      </c>
      <c r="C115" s="276" t="inlineStr">
        <is>
          <t>No Awami cash, petty or bank transactions exist yet: every entry is a JV through FMH, KBH or Syed Yousaf Shah. JV-0020 kept as posted pending confirmation that it is a duplicate of JV-0019. Rashid's own software, CRM and salary payments (7 JVs, 633,000) have been moved out to the 15-Sep closing — see that tab; QuickBooks itself is unchanged, these were already posted there correctly. This closing is the opening b/f for the first daily closing.</t>
        </is>
      </c>
    </row>
    <row r="116" ht="14.5" customHeight="1"/>
    <row r="117" ht="14.5" customHeight="1"/>
    <row r="118" ht="14.5" customHeight="1"/>
    <row r="119" ht="14.5" customHeight="1">
      <c r="B119" s="251" t="inlineStr">
        <is>
          <t>Prepared by (Accountant)</t>
        </is>
      </c>
      <c r="C119" s="35" t="n"/>
      <c r="E119" s="251" t="inlineStr">
        <is>
          <t>Checked by</t>
        </is>
      </c>
      <c r="G119" s="251" t="inlineStr">
        <is>
          <t>Approved by (Director)</t>
        </is>
      </c>
      <c r="H119" s="35" t="n"/>
    </row>
    <row r="120" ht="14.5" customHeight="1"/>
    <row r="121">
      <c r="B121" s="252" t="inlineStr">
        <is>
          <t>Source: Awami_All_Entries.xlsx (Entries sheet)  ·  Heads per Awami_Market_COA  ·  Dates are voucher dates</t>
        </is>
      </c>
    </row>
    <row r="122" ht="16" customHeight="1"/>
    <row r="123" ht="16" customHeight="1"/>
    <row r="125" ht="22" customHeight="1"/>
  </sheetData>
  <mergeCells count="47">
    <mergeCell ref="D20:E20"/>
    <mergeCell ref="C99:E99"/>
    <mergeCell ref="C94:E94"/>
    <mergeCell ref="C110:F110"/>
    <mergeCell ref="C15:D15"/>
    <mergeCell ref="C93:E93"/>
    <mergeCell ref="D34:E34"/>
    <mergeCell ref="C14:D14"/>
    <mergeCell ref="D22:E22"/>
    <mergeCell ref="C90:E90"/>
    <mergeCell ref="D36:E36"/>
    <mergeCell ref="D31:E31"/>
    <mergeCell ref="C95:E95"/>
    <mergeCell ref="D21:E21"/>
    <mergeCell ref="C111:F111"/>
    <mergeCell ref="C10:D10"/>
    <mergeCell ref="C16:D16"/>
    <mergeCell ref="D27:E27"/>
    <mergeCell ref="D32:E32"/>
    <mergeCell ref="C108:F108"/>
    <mergeCell ref="C91:E91"/>
    <mergeCell ref="C107:F107"/>
    <mergeCell ref="C12:D12"/>
    <mergeCell ref="C102:E102"/>
    <mergeCell ref="C11:D11"/>
    <mergeCell ref="C113:F113"/>
    <mergeCell ref="C115:H116"/>
    <mergeCell ref="C96:E96"/>
    <mergeCell ref="D28:E28"/>
    <mergeCell ref="C112:F112"/>
    <mergeCell ref="C101:E101"/>
    <mergeCell ref="C92:E92"/>
    <mergeCell ref="C109:F109"/>
    <mergeCell ref="C17:D17"/>
    <mergeCell ref="D25:E25"/>
    <mergeCell ref="D24:E24"/>
    <mergeCell ref="D30:E30"/>
    <mergeCell ref="B13:H13"/>
    <mergeCell ref="D33:E33"/>
    <mergeCell ref="D29:E29"/>
    <mergeCell ref="C98:E98"/>
    <mergeCell ref="D23:E23"/>
    <mergeCell ref="C97:E97"/>
    <mergeCell ref="C100:E100"/>
    <mergeCell ref="D26:E26"/>
    <mergeCell ref="C103:E103"/>
    <mergeCell ref="D35:E35"/>
  </mergeCells>
  <conditionalFormatting sqref="H114:H120">
    <cfRule type="expression" priority="1" dxfId="0">
      <formula>K114=0</formula>
    </cfRule>
    <cfRule type="expression" priority="2" dxfId="1">
      <formula>AND(K114&gt;0,G114="Review")</formula>
    </cfRule>
    <cfRule type="expression" priority="3" dxfId="2">
      <formula>AND(K114&gt;0,G114&lt;&gt;"Review")</formula>
    </cfRule>
  </conditionalFormatting>
  <pageMargins left="0.3" right="0.3" top="0.4" bottom="0.4" header="0.5" footer="0.5"/>
  <pageSetup orientation="portrait" paperSize="9" fitToHeight="0" fitToWidth="1"/>
  <headerFooter>
    <oddHeader/>
    <oddFooter>&amp;L&amp;"Arial"&amp;7 Awami Market · Consolidated Closing&amp;R&amp;7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5" customWidth="1" min="1" max="1"/>
    <col width="10" customWidth="1" min="2" max="2"/>
    <col width="26" customWidth="1" min="3" max="3"/>
    <col width="12.5" customWidth="1" min="4" max="4"/>
    <col width="12.5" customWidth="1" min="5" max="5"/>
    <col width="11.5" customWidth="1" min="6" max="6"/>
    <col width="12" customWidth="1" min="7" max="7"/>
    <col width="14" customWidth="1" min="8" max="8"/>
    <col width="1.5" customWidth="1" min="9" max="9"/>
    <col hidden="1" width="13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" customHeight="1">
      <c r="A2" s="1" t="n"/>
      <c r="B2" s="161" t="inlineStr">
        <is>
          <t>FOURTEEN GROUP  ·  AWAMI MARKET, KARKHANO</t>
        </is>
      </c>
      <c r="C2" s="1" t="n"/>
      <c r="D2" s="1" t="n"/>
      <c r="E2" s="1" t="n"/>
      <c r="F2" s="1" t="n"/>
      <c r="G2" s="162" t="inlineStr">
        <is>
          <t>Date</t>
        </is>
      </c>
      <c r="H2" s="163" t="n">
        <v>46282</v>
      </c>
      <c r="I2" s="1" t="n"/>
    </row>
    <row r="3" ht="30" customHeight="1">
      <c r="A3" s="1" t="n"/>
      <c r="B3" s="164" t="inlineStr">
        <is>
          <t>Daily Closing</t>
        </is>
      </c>
      <c r="C3" s="1" t="n"/>
      <c r="D3" s="1" t="n"/>
      <c r="E3" s="1" t="n"/>
      <c r="F3" s="1" t="n"/>
      <c r="G3" s="162" t="inlineStr">
        <is>
          <t>Day</t>
        </is>
      </c>
      <c r="H3" s="165">
        <f>TEXT(H2,"dddd")</f>
        <v/>
      </c>
      <c r="I3" s="1" t="n"/>
    </row>
    <row r="4" ht="6" customHeight="1">
      <c r="A4" s="166" t="n"/>
      <c r="B4" s="166" t="n"/>
      <c r="C4" s="166" t="n"/>
      <c r="D4" s="166" t="n"/>
      <c r="E4" s="166" t="n"/>
      <c r="F4" s="166" t="n"/>
      <c r="G4" s="166" t="n"/>
      <c r="H4" s="166" t="n"/>
      <c r="I4" s="166" t="n"/>
    </row>
    <row r="6" ht="14" customHeight="1">
      <c r="B6" s="167" t="inlineStr">
        <is>
          <t>Opening Balance</t>
        </is>
      </c>
      <c r="C6" s="167" t="inlineStr">
        <is>
          <t>Money In</t>
        </is>
      </c>
      <c r="D6" s="167" t="inlineStr">
        <is>
          <t>Money Out</t>
        </is>
      </c>
      <c r="E6" s="167" t="inlineStr">
        <is>
          <t>Closing Balance</t>
        </is>
      </c>
      <c r="F6" s="277">
        <f>IF(SUM(K54:K57)=0,"✓ Balanced","⚠ Needs Review")</f>
        <v/>
      </c>
      <c r="G6" s="153" t="n"/>
      <c r="H6" s="154" t="n"/>
    </row>
    <row r="7" ht="32" customHeight="1">
      <c r="B7" s="169">
        <f>D14</f>
        <v/>
      </c>
      <c r="C7" s="170">
        <f>E14</f>
        <v/>
      </c>
      <c r="D7" s="171">
        <f>F14</f>
        <v/>
      </c>
      <c r="E7" s="172">
        <f>H14</f>
        <v/>
      </c>
      <c r="F7" s="253" t="n"/>
      <c r="H7" s="155" t="n"/>
    </row>
    <row r="9" ht="18" customHeight="1">
      <c r="A9" s="166" t="n"/>
      <c r="B9" s="173" t="inlineStr">
        <is>
          <t>Cash &amp; Bank</t>
        </is>
      </c>
      <c r="C9" s="1" t="n"/>
      <c r="D9" s="1" t="n"/>
      <c r="E9" s="1" t="n"/>
      <c r="F9" s="1" t="n"/>
      <c r="G9" s="1" t="n"/>
      <c r="H9" s="1" t="n"/>
    </row>
    <row r="10" ht="14" customHeight="1">
      <c r="B10" s="174" t="inlineStr"/>
      <c r="C10" s="174" t="inlineStr">
        <is>
          <t>Account</t>
        </is>
      </c>
      <c r="D10" s="175" t="inlineStr">
        <is>
          <t>Opening Balance</t>
        </is>
      </c>
      <c r="E10" s="175" t="inlineStr">
        <is>
          <t>Money In</t>
        </is>
      </c>
      <c r="F10" s="175" t="inlineStr">
        <is>
          <t>Money Out</t>
        </is>
      </c>
      <c r="G10" s="175" t="inlineStr">
        <is>
          <t>Transfer/Adjust</t>
        </is>
      </c>
      <c r="H10" s="175" t="inlineStr">
        <is>
          <t>Closing Balance</t>
        </is>
      </c>
    </row>
    <row r="11" ht="17" customHeight="1">
      <c r="B11" s="21" t="n"/>
      <c r="C11" s="176" t="inlineStr">
        <is>
          <t>Cash in Hand</t>
        </is>
      </c>
      <c r="D11" s="177">
        <f>'16-Sep'!H10</f>
        <v/>
      </c>
      <c r="E11" s="178">
        <f>SUMIFS($H$19:$H$26,$G$19:$G$26,"Cash")</f>
        <v/>
      </c>
      <c r="F11" s="179">
        <f>SUMIFS($H$32:$H$41,$G$32:$G$41,"Cash")</f>
        <v/>
      </c>
      <c r="G11" s="180">
        <f>-$D$15+$F$15-$H$15</f>
        <v/>
      </c>
      <c r="H11" s="181">
        <f>D11+E11-F11+G11</f>
        <v/>
      </c>
    </row>
    <row r="12" ht="17" customHeight="1">
      <c r="B12" s="21" t="n"/>
      <c r="C12" s="176" t="inlineStr">
        <is>
          <t>Petty Cash</t>
        </is>
      </c>
      <c r="D12" s="177">
        <f>'16-Sep'!H11</f>
        <v/>
      </c>
      <c r="E12" s="178">
        <f>SUMIFS($H$19:$H$26,$G$19:$G$26,"Petty")</f>
        <v/>
      </c>
      <c r="F12" s="179">
        <f>SUMIFS($H$32:$H$41,$G$32:$G$41,"Petty")</f>
        <v/>
      </c>
      <c r="G12" s="180">
        <f>$H$15</f>
        <v/>
      </c>
      <c r="H12" s="181">
        <f>D12+E12-F12+G12</f>
        <v/>
      </c>
    </row>
    <row r="13" ht="17" customHeight="1">
      <c r="B13" s="21" t="n"/>
      <c r="C13" s="176" t="inlineStr">
        <is>
          <t>Bank Al-Habib</t>
        </is>
      </c>
      <c r="D13" s="177">
        <f>'16-Sep'!H12</f>
        <v/>
      </c>
      <c r="E13" s="178">
        <f>SUMIFS($H$19:$H$26,$G$19:$G$26,"Bank")</f>
        <v/>
      </c>
      <c r="F13" s="179">
        <f>SUMIFS($H$32:$H$41,$G$32:$G$41,"Bank")</f>
        <v/>
      </c>
      <c r="G13" s="180">
        <f>$D$15-$F$15</f>
        <v/>
      </c>
      <c r="H13" s="181">
        <f>D13+E13-F13+G13</f>
        <v/>
      </c>
    </row>
    <row r="14" ht="17" customHeight="1">
      <c r="B14" s="145" t="n"/>
      <c r="C14" s="182" t="inlineStr">
        <is>
          <t>Total</t>
        </is>
      </c>
      <c r="D14" s="183">
        <f>SUM(D11:D13)</f>
        <v/>
      </c>
      <c r="E14" s="183">
        <f>SUM(E11:E13)</f>
        <v/>
      </c>
      <c r="F14" s="183">
        <f>SUM(F11:F13)</f>
        <v/>
      </c>
      <c r="G14" s="183">
        <f>SUM(G11:G13)</f>
        <v/>
      </c>
      <c r="H14" s="183">
        <f>SUM(H11:H13)</f>
        <v/>
      </c>
    </row>
    <row r="15" ht="13" customHeight="1">
      <c r="C15" s="184" t="inlineStr">
        <is>
          <t>Cash → Bank Deposit</t>
        </is>
      </c>
      <c r="D15" s="185" t="n"/>
      <c r="E15" s="184" t="inlineStr">
        <is>
          <t>Bank → Cash Withdrawal</t>
        </is>
      </c>
      <c r="F15" s="185" t="n"/>
      <c r="G15" s="184" t="inlineStr">
        <is>
          <t>Cash → Petty Cash</t>
        </is>
      </c>
      <c r="H15" s="185" t="n"/>
    </row>
    <row r="17" ht="18" customHeight="1">
      <c r="A17" s="166" t="n"/>
      <c r="B17" s="173" t="inlineStr">
        <is>
          <t>Money Received</t>
        </is>
      </c>
      <c r="C17" s="1" t="n"/>
      <c r="D17" s="1" t="n"/>
      <c r="E17" s="1" t="n"/>
      <c r="F17" s="1" t="n"/>
      <c r="G17" s="1" t="n"/>
      <c r="H17" s="1" t="n"/>
    </row>
    <row r="18" ht="14" customHeight="1">
      <c r="B18" s="174" t="inlineStr">
        <is>
          <t>Voucher</t>
        </is>
      </c>
      <c r="C18" s="174" t="inlineStr">
        <is>
          <t>Description</t>
        </is>
      </c>
      <c r="D18" s="174" t="inlineStr">
        <is>
          <t>Head</t>
        </is>
      </c>
      <c r="E18" s="6" t="n"/>
      <c r="F18" s="174" t="inlineStr">
        <is>
          <t>Floor</t>
        </is>
      </c>
      <c r="G18" s="174" t="inlineStr">
        <is>
          <t>Cash/Bank</t>
        </is>
      </c>
      <c r="H18" s="175" t="inlineStr">
        <is>
          <t>Amount Received</t>
        </is>
      </c>
    </row>
    <row r="19" ht="16" customHeight="1">
      <c r="B19" s="186" t="n"/>
      <c r="C19" s="187" t="n"/>
      <c r="D19" s="278" t="n"/>
      <c r="E19" s="59" t="n"/>
      <c r="F19" s="189" t="n"/>
      <c r="G19" s="189" t="n"/>
      <c r="H19" s="190" t="n"/>
      <c r="K19">
        <f>IF(D19="","",IFERROR(VALUE(LEFT(D19,5)),""))</f>
        <v/>
      </c>
    </row>
    <row r="20" ht="16" customHeight="1">
      <c r="B20" s="186" t="n"/>
      <c r="C20" s="187" t="n"/>
      <c r="D20" s="278" t="n"/>
      <c r="E20" s="59" t="n"/>
      <c r="F20" s="189" t="n"/>
      <c r="G20" s="189" t="n"/>
      <c r="H20" s="190" t="n"/>
      <c r="K20">
        <f>IF(D20="","",IFERROR(VALUE(LEFT(D20,5)),""))</f>
        <v/>
      </c>
    </row>
    <row r="21" ht="16" customHeight="1">
      <c r="B21" s="186" t="n"/>
      <c r="C21" s="187" t="n"/>
      <c r="D21" s="278" t="n"/>
      <c r="E21" s="59" t="n"/>
      <c r="F21" s="189" t="n"/>
      <c r="G21" s="189" t="n"/>
      <c r="H21" s="190" t="n"/>
      <c r="K21">
        <f>IF(D21="","",IFERROR(VALUE(LEFT(D21,5)),""))</f>
        <v/>
      </c>
    </row>
    <row r="22" ht="16" customHeight="1">
      <c r="B22" s="186" t="n"/>
      <c r="C22" s="187" t="n"/>
      <c r="D22" s="278" t="n"/>
      <c r="E22" s="59" t="n"/>
      <c r="F22" s="189" t="n"/>
      <c r="G22" s="189" t="n"/>
      <c r="H22" s="190" t="n"/>
      <c r="K22">
        <f>IF(D22="","",IFERROR(VALUE(LEFT(D22,5)),""))</f>
        <v/>
      </c>
    </row>
    <row r="23" ht="16" customHeight="1">
      <c r="B23" s="186" t="n"/>
      <c r="C23" s="187" t="n"/>
      <c r="D23" s="278" t="n"/>
      <c r="E23" s="59" t="n"/>
      <c r="F23" s="189" t="n"/>
      <c r="G23" s="189" t="n"/>
      <c r="H23" s="190" t="n"/>
      <c r="K23">
        <f>IF(D23="","",IFERROR(VALUE(LEFT(D23,5)),""))</f>
        <v/>
      </c>
    </row>
    <row r="24" ht="16" customHeight="1">
      <c r="B24" s="186" t="n"/>
      <c r="C24" s="187" t="n"/>
      <c r="D24" s="278" t="n"/>
      <c r="E24" s="59" t="n"/>
      <c r="F24" s="189" t="n"/>
      <c r="G24" s="189" t="n"/>
      <c r="H24" s="190" t="n"/>
      <c r="K24">
        <f>IF(D24="","",IFERROR(VALUE(LEFT(D24,5)),""))</f>
        <v/>
      </c>
    </row>
    <row r="25" ht="16" customHeight="1">
      <c r="B25" s="186" t="n"/>
      <c r="C25" s="187" t="n"/>
      <c r="D25" s="278" t="n"/>
      <c r="E25" s="59" t="n"/>
      <c r="F25" s="189" t="n"/>
      <c r="G25" s="189" t="n"/>
      <c r="H25" s="190" t="n"/>
      <c r="K25">
        <f>IF(D25="","",IFERROR(VALUE(LEFT(D25,5)),""))</f>
        <v/>
      </c>
    </row>
    <row r="26" ht="16" customHeight="1">
      <c r="B26" s="186" t="n"/>
      <c r="C26" s="187" t="n"/>
      <c r="D26" s="278" t="n"/>
      <c r="E26" s="59" t="n"/>
      <c r="F26" s="189" t="n"/>
      <c r="G26" s="189" t="n"/>
      <c r="H26" s="190" t="n"/>
      <c r="K26">
        <f>IF(D26="","",IFERROR(VALUE(LEFT(D26,5)),""))</f>
        <v/>
      </c>
    </row>
    <row r="27" ht="18" customHeight="1">
      <c r="B27" s="35" t="n"/>
      <c r="C27" s="191">
        <f>COUNT($H$19:$H$26)&amp;" entries"</f>
        <v/>
      </c>
      <c r="D27" s="35" t="n"/>
      <c r="E27" s="35" t="n"/>
      <c r="F27" s="35" t="n"/>
      <c r="G27" s="192" t="inlineStr">
        <is>
          <t>Total Received</t>
        </is>
      </c>
      <c r="H27" s="193">
        <f>SUM($H$19:$H$26)</f>
        <v/>
      </c>
    </row>
    <row r="30" ht="18" customHeight="1">
      <c r="A30" s="166" t="n"/>
      <c r="B30" s="173" t="inlineStr">
        <is>
          <t>Money Paid</t>
        </is>
      </c>
      <c r="C30" s="1" t="n"/>
      <c r="D30" s="1" t="n"/>
      <c r="E30" s="1" t="n"/>
      <c r="F30" s="1" t="n"/>
      <c r="G30" s="1" t="n"/>
      <c r="H30" s="1" t="n"/>
    </row>
    <row r="31" ht="14" customHeight="1">
      <c r="B31" s="174" t="inlineStr">
        <is>
          <t>Voucher</t>
        </is>
      </c>
      <c r="C31" s="174" t="inlineStr">
        <is>
          <t>Description</t>
        </is>
      </c>
      <c r="D31" s="174" t="inlineStr">
        <is>
          <t>Head</t>
        </is>
      </c>
      <c r="E31" s="6" t="n"/>
      <c r="F31" s="174" t="inlineStr">
        <is>
          <t>Floor</t>
        </is>
      </c>
      <c r="G31" s="174" t="inlineStr">
        <is>
          <t>Cash/Bank</t>
        </is>
      </c>
      <c r="H31" s="175" t="inlineStr">
        <is>
          <t>Amount Paid</t>
        </is>
      </c>
    </row>
    <row r="32" ht="16" customHeight="1">
      <c r="B32" s="186" t="n"/>
      <c r="C32" s="187" t="n"/>
      <c r="D32" s="278" t="n"/>
      <c r="E32" s="59" t="n"/>
      <c r="F32" s="189" t="n"/>
      <c r="G32" s="189" t="n"/>
      <c r="H32" s="194" t="n"/>
      <c r="K32">
        <f>IF(D32="","",IFERROR(VALUE(LEFT(D32,5)),""))</f>
        <v/>
      </c>
    </row>
    <row r="33" ht="16" customHeight="1">
      <c r="B33" s="186" t="n"/>
      <c r="C33" s="187" t="n"/>
      <c r="D33" s="278" t="n"/>
      <c r="E33" s="59" t="n"/>
      <c r="F33" s="189" t="n"/>
      <c r="G33" s="189" t="n"/>
      <c r="H33" s="194" t="n"/>
      <c r="K33">
        <f>IF(D33="","",IFERROR(VALUE(LEFT(D33,5)),""))</f>
        <v/>
      </c>
    </row>
    <row r="34" ht="16" customHeight="1">
      <c r="B34" s="186" t="n"/>
      <c r="C34" s="187" t="n"/>
      <c r="D34" s="278" t="n"/>
      <c r="E34" s="59" t="n"/>
      <c r="F34" s="189" t="n"/>
      <c r="G34" s="189" t="n"/>
      <c r="H34" s="194" t="n"/>
      <c r="K34">
        <f>IF(D34="","",IFERROR(VALUE(LEFT(D34,5)),""))</f>
        <v/>
      </c>
    </row>
    <row r="35" ht="16" customHeight="1">
      <c r="B35" s="186" t="n"/>
      <c r="C35" s="187" t="n"/>
      <c r="D35" s="278" t="n"/>
      <c r="E35" s="59" t="n"/>
      <c r="F35" s="189" t="n"/>
      <c r="G35" s="189" t="n"/>
      <c r="H35" s="194" t="n"/>
      <c r="K35">
        <f>IF(D35="","",IFERROR(VALUE(LEFT(D35,5)),""))</f>
        <v/>
      </c>
    </row>
    <row r="36" ht="16" customHeight="1">
      <c r="B36" s="186" t="n"/>
      <c r="C36" s="187" t="n"/>
      <c r="D36" s="278" t="n"/>
      <c r="E36" s="59" t="n"/>
      <c r="F36" s="189" t="n"/>
      <c r="G36" s="189" t="n"/>
      <c r="H36" s="194" t="n"/>
      <c r="K36">
        <f>IF(D36="","",IFERROR(VALUE(LEFT(D36,5)),""))</f>
        <v/>
      </c>
    </row>
    <row r="37" ht="16" customHeight="1">
      <c r="B37" s="186" t="n"/>
      <c r="C37" s="187" t="n"/>
      <c r="D37" s="278" t="n"/>
      <c r="E37" s="59" t="n"/>
      <c r="F37" s="189" t="n"/>
      <c r="G37" s="189" t="n"/>
      <c r="H37" s="194" t="n"/>
      <c r="K37">
        <f>IF(D37="","",IFERROR(VALUE(LEFT(D37,5)),""))</f>
        <v/>
      </c>
    </row>
    <row r="38" ht="16" customHeight="1">
      <c r="B38" s="186" t="n"/>
      <c r="C38" s="187" t="n"/>
      <c r="D38" s="278" t="n"/>
      <c r="E38" s="59" t="n"/>
      <c r="F38" s="189" t="n"/>
      <c r="G38" s="189" t="n"/>
      <c r="H38" s="194" t="n"/>
      <c r="K38">
        <f>IF(D38="","",IFERROR(VALUE(LEFT(D38,5)),""))</f>
        <v/>
      </c>
    </row>
    <row r="39" ht="16" customHeight="1">
      <c r="B39" s="186" t="n"/>
      <c r="C39" s="187" t="n"/>
      <c r="D39" s="278" t="n"/>
      <c r="E39" s="59" t="n"/>
      <c r="F39" s="189" t="n"/>
      <c r="G39" s="189" t="n"/>
      <c r="H39" s="194" t="n"/>
      <c r="K39">
        <f>IF(D39="","",IFERROR(VALUE(LEFT(D39,5)),""))</f>
        <v/>
      </c>
    </row>
    <row r="40" ht="16" customHeight="1">
      <c r="B40" s="186" t="n"/>
      <c r="C40" s="187" t="n"/>
      <c r="D40" s="278" t="n"/>
      <c r="E40" s="59" t="n"/>
      <c r="F40" s="189" t="n"/>
      <c r="G40" s="189" t="n"/>
      <c r="H40" s="194" t="n"/>
      <c r="K40">
        <f>IF(D40="","",IFERROR(VALUE(LEFT(D40,5)),""))</f>
        <v/>
      </c>
    </row>
    <row r="41" ht="16" customHeight="1">
      <c r="B41" s="186" t="n"/>
      <c r="C41" s="187" t="n"/>
      <c r="D41" s="278" t="n"/>
      <c r="E41" s="59" t="n"/>
      <c r="F41" s="189" t="n"/>
      <c r="G41" s="189" t="n"/>
      <c r="H41" s="194" t="n"/>
      <c r="K41">
        <f>IF(D41="","",IFERROR(VALUE(LEFT(D41,5)),""))</f>
        <v/>
      </c>
    </row>
    <row r="42" ht="18" customHeight="1">
      <c r="B42" s="35" t="n"/>
      <c r="C42" s="191">
        <f>COUNT($H$32:$H$41)&amp;" entries"</f>
        <v/>
      </c>
      <c r="D42" s="35" t="n"/>
      <c r="E42" s="35" t="n"/>
      <c r="F42" s="35" t="n"/>
      <c r="G42" s="192" t="inlineStr">
        <is>
          <t>Total Paid</t>
        </is>
      </c>
      <c r="H42" s="195">
        <f>SUM($H$32:$H$41)</f>
        <v/>
      </c>
    </row>
    <row r="44" ht="18" customHeight="1">
      <c r="A44" s="166" t="n"/>
      <c r="B44" s="173" t="inlineStr">
        <is>
          <t>Other Balances (Not Awami's Own Cash)</t>
        </is>
      </c>
      <c r="C44" s="1" t="n"/>
      <c r="D44" s="1" t="n"/>
      <c r="E44" s="1" t="n"/>
      <c r="F44" s="1" t="n"/>
      <c r="G44" s="1" t="n"/>
      <c r="H44" s="1" t="n"/>
    </row>
    <row r="45" ht="16" customHeight="1">
      <c r="B45" s="279" t="inlineStr">
        <is>
          <t>Owed to FMH (payable)</t>
        </is>
      </c>
      <c r="C45" s="153" t="n"/>
      <c r="D45" s="153" t="n"/>
      <c r="E45" s="153" t="n"/>
      <c r="F45" s="154" t="n"/>
      <c r="G45" s="280">
        <f>'16-Sep'!H15*-1</f>
        <v/>
      </c>
      <c r="H45" s="154" t="n"/>
    </row>
    <row r="46" ht="16" customHeight="1">
      <c r="B46" s="281" t="inlineStr">
        <is>
          <t>Owed to KBH (payable)</t>
        </is>
      </c>
      <c r="F46" s="155" t="n"/>
      <c r="G46" s="282">
        <f>'16-Sep'!H16*-1</f>
        <v/>
      </c>
      <c r="H46" s="155" t="n"/>
    </row>
    <row r="47" ht="16" customHeight="1">
      <c r="B47" s="283" t="inlineStr">
        <is>
          <t>Due from Syed Yousaf Shah — given by Awami, to be recovered</t>
        </is>
      </c>
      <c r="F47" s="155" t="n"/>
      <c r="G47" s="284">
        <f>'16-Sep'!H14</f>
        <v/>
      </c>
      <c r="H47" s="155" t="n"/>
    </row>
    <row r="48" ht="16" customHeight="1">
      <c r="B48" s="281" t="inlineStr">
        <is>
          <t>Due from Naeem Hussain — given by Awami, to be recovered</t>
        </is>
      </c>
      <c r="F48" s="155" t="n"/>
      <c r="G48" s="282" t="n">
        <v>0</v>
      </c>
      <c r="H48" s="155" t="n"/>
    </row>
    <row r="49" ht="16" customHeight="1">
      <c r="B49" s="202" t="inlineStr">
        <is>
          <t>Customer token money held — refundable if a deal is cancelled</t>
        </is>
      </c>
      <c r="C49" s="156" t="n"/>
      <c r="D49" s="156" t="n"/>
      <c r="E49" s="156" t="n"/>
      <c r="F49" s="157" t="n"/>
      <c r="G49" s="203">
        <f>'16-Sep'!H17*-1</f>
        <v/>
      </c>
      <c r="H49" s="157" t="n"/>
    </row>
    <row r="52" ht="18" customHeight="1">
      <c r="A52" s="166" t="n"/>
      <c r="B52" s="173" t="inlineStr">
        <is>
          <t>Check</t>
        </is>
      </c>
      <c r="C52" s="1" t="n"/>
      <c r="D52" s="1" t="n"/>
      <c r="E52" s="1" t="n"/>
      <c r="F52" s="1" t="n"/>
      <c r="G52" s="1" t="n"/>
      <c r="H52" s="1" t="n"/>
    </row>
    <row r="53" ht="22" customHeight="1">
      <c r="B53" s="204">
        <f>IF(SUM(K54:K57)=0,"✓  Everything Matches — Closing is Correct","⚠  Please Review:  "&amp;IF(K54&gt;0,"Some entries are incomplete (description/head/floor/cash-bank missing)   ","")&amp;IF(K55&gt;0,"A head was not chosen from the list   ","")&amp;IF(K56&gt;0,"A voucher number is used twice   ","")&amp;IF(K57&gt;0,"Cash or Bank balance has gone negative   ",""))</f>
        <v/>
      </c>
    </row>
    <row r="54">
      <c r="K54">
        <f>SUMPRODUCT(($H$19:$H$26&lt;&gt;"")*((($B$19:$B$26="")+($D$19:$D$26="")+($F$19:$F$26="")+($G$19:$G$26=""))&gt;0))+SUMPRODUCT(($H$32:$H$41&lt;&gt;"")*((($B$32:$B$41="")+($D$32:$D$41="")+($F$32:$F$41="")+($G$32:$G$41=""))&gt;0))</f>
        <v/>
      </c>
    </row>
    <row r="55">
      <c r="K55">
        <f>SUMPRODUCT(($D$19:$D$26&lt;&gt;"")*(COUNTIF(Heads!$E$2:$E$150,$D$19:$D$26)=0))+SUMPRODUCT(($D$32:$D$41&lt;&gt;"")*(COUNTIF(Heads!$E$2:$E$150,$D$32:$D$41)=0))</f>
        <v/>
      </c>
    </row>
    <row r="56">
      <c r="K56">
        <f>SUMPRODUCT(($B$19:$B$26&lt;&gt;"")*(COUNTIF($B$19:$B$41,$B$19:$B$26)&gt;1))+SUMPRODUCT(($B$32:$B$41&lt;&gt;"")*(COUNTIF($B$19:$B$41,$B$32:$B$41)&gt;1))</f>
        <v/>
      </c>
    </row>
    <row r="57">
      <c r="K57">
        <f>COUNTIF($H$11:$H$13,"&lt;0")</f>
        <v/>
      </c>
    </row>
    <row r="59" ht="16" customHeight="1">
      <c r="B59" s="205" t="n"/>
    </row>
    <row r="61" ht="22" customHeight="1"/>
    <row r="62">
      <c r="B62" s="191" t="inlineStr">
        <is>
          <t>Prepared by (Accountant)</t>
        </is>
      </c>
      <c r="C62" s="35" t="n"/>
      <c r="D62" s="191" t="inlineStr">
        <is>
          <t>Checked by</t>
        </is>
      </c>
      <c r="E62" s="35" t="n"/>
      <c r="G62" s="191" t="inlineStr">
        <is>
          <t>Reviewed by Director</t>
        </is>
      </c>
      <c r="H62" s="35" t="n"/>
    </row>
    <row r="64">
      <c r="B64" s="206" t="inlineStr">
        <is>
          <t>Blue = enter manually  ·  Everything else calculates automatically  ·  Tomorrow's opening balance comes from here</t>
        </is>
      </c>
    </row>
  </sheetData>
  <mergeCells count="31">
    <mergeCell ref="D20:E20"/>
    <mergeCell ref="B47:F47"/>
    <mergeCell ref="D19:E19"/>
    <mergeCell ref="D34:E34"/>
    <mergeCell ref="B46:F46"/>
    <mergeCell ref="D22:E22"/>
    <mergeCell ref="D40:E40"/>
    <mergeCell ref="D36:E36"/>
    <mergeCell ref="G48:H48"/>
    <mergeCell ref="D21:E21"/>
    <mergeCell ref="F6:H7"/>
    <mergeCell ref="B48:F48"/>
    <mergeCell ref="D32:E32"/>
    <mergeCell ref="D41:E41"/>
    <mergeCell ref="B59:H59"/>
    <mergeCell ref="G49:H49"/>
    <mergeCell ref="D37:E37"/>
    <mergeCell ref="G45:H45"/>
    <mergeCell ref="D39:E39"/>
    <mergeCell ref="D25:E25"/>
    <mergeCell ref="B49:F49"/>
    <mergeCell ref="D24:E24"/>
    <mergeCell ref="G47:H47"/>
    <mergeCell ref="D33:E33"/>
    <mergeCell ref="B53:H53"/>
    <mergeCell ref="D23:E23"/>
    <mergeCell ref="D38:E38"/>
    <mergeCell ref="B45:F45"/>
    <mergeCell ref="G46:H46"/>
    <mergeCell ref="D26:E26"/>
    <mergeCell ref="D35:E35"/>
  </mergeCells>
  <conditionalFormatting sqref="B53:H53">
    <cfRule type="expression" priority="1" dxfId="8">
      <formula>SUM($K$54:$K$57)=0</formula>
    </cfRule>
    <cfRule type="expression" priority="2" dxfId="9">
      <formula>SUM($K$54:$K$57)&gt;0</formula>
    </cfRule>
  </conditionalFormatting>
  <conditionalFormatting sqref="F6">
    <cfRule type="expression" priority="3" dxfId="10">
      <formula>NOT(SUM(K54:K57)=0)</formula>
    </cfRule>
  </conditionalFormatting>
  <dataValidations count="4">
    <dataValidation sqref="F19:F26 F32:F41" showDropDown="0" showInputMessage="0" showErrorMessage="1" allowBlank="1" error="Choose a floor from the list" type="list">
      <formula1>=Lists!$A$2:$A$10</formula1>
    </dataValidation>
    <dataValidation sqref="G19:G26 G32:G41" showDropDown="0" showInputMessage="0" showErrorMessage="1" allowBlank="1" error="Cash, Petty or Bank" type="list">
      <formula1>=Lists!$B$2:$B$4</formula1>
    </dataValidation>
    <dataValidation sqref="D19:D26 D32:D41" showDropDown="0" showInputMessage="0" showErrorMessage="1" allowBlank="1" error="Choose a head from the list" type="list">
      <formula1>=Heads!$E$2:$E$150</formula1>
    </dataValidation>
    <dataValidation sqref="D15 F15 H15 H19:H26 H32:H41" showDropDown="0" showInputMessage="0" showErrorMessage="1" allowBlank="1" error="Amount cannot be negative" type="decimal" operator="greaterThanOrEqual">
      <formula1>0</formula1>
    </dataValidation>
  </dataValidations>
  <pageMargins left="0.3" right="0.3" top="0.35" bottom="0.35" header="0.5" footer="0.5"/>
  <pageSetup orientation="portrait" paperSize="9" fitToHeight="1" fitToWidth="1"/>
  <headerFooter>
    <oddHeader/>
    <oddFooter>&amp;LAwami Market · Daily Closing&amp;RPage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52" customWidth="1" min="3" max="3"/>
    <col width="9" customWidth="1" min="4" max="4"/>
    <col width="26" customWidth="1" min="5" max="5"/>
    <col width="12" customWidth="1" min="6" max="6"/>
    <col width="13" customWidth="1" min="7" max="7"/>
    <col width="13" customWidth="1" min="8" max="8"/>
    <col width="70" customWidth="1" min="9" max="9"/>
  </cols>
  <sheetData>
    <row r="1">
      <c r="A1" s="49" t="inlineStr">
        <is>
          <t>Voucher</t>
        </is>
      </c>
      <c r="B1" s="49" t="inlineStr">
        <is>
          <t>Date</t>
        </is>
      </c>
      <c r="C1" s="49" t="inlineStr">
        <is>
          <t>Account</t>
        </is>
      </c>
      <c r="D1" s="49" t="inlineStr">
        <is>
          <t>COA code</t>
        </is>
      </c>
      <c r="E1" s="49" t="inlineStr">
        <is>
          <t>Name</t>
        </is>
      </c>
      <c r="F1" s="49" t="inlineStr">
        <is>
          <t>Class</t>
        </is>
      </c>
      <c r="G1" s="49" t="inlineStr">
        <is>
          <t>Debit</t>
        </is>
      </c>
      <c r="H1" s="49" t="inlineStr">
        <is>
          <t>Credit</t>
        </is>
      </c>
      <c r="I1" s="49" t="inlineStr">
        <is>
          <t>Memo</t>
        </is>
      </c>
      <c r="J1" s="285" t="inlineStr">
        <is>
          <t>Closing</t>
        </is>
      </c>
    </row>
    <row r="2">
      <c r="A2" s="50" t="inlineStr">
        <is>
          <t>JV-0001</t>
        </is>
      </c>
      <c r="B2" s="87" t="n">
        <v>46213</v>
      </c>
      <c r="C2" s="50" t="inlineStr">
        <is>
          <t>Due to / from Group Companies:FMH - Fourteen Manzil Heights</t>
        </is>
      </c>
      <c r="D2" s="50" t="n">
        <v>22100</v>
      </c>
      <c r="E2" s="50" t="inlineStr">
        <is>
          <t>FMH</t>
        </is>
      </c>
      <c r="F2" s="50" t="inlineStr">
        <is>
          <t>Project-wide</t>
        </is>
      </c>
      <c r="G2" s="88" t="n">
        <v>10000</v>
      </c>
      <c r="H2" s="88" t="n"/>
      <c r="I2" s="50" t="inlineStr">
        <is>
          <t>Token 102 received by FMH office - Cash</t>
        </is>
      </c>
      <c r="J2" t="inlineStr">
        <is>
          <t>16-Sep</t>
        </is>
      </c>
    </row>
    <row r="3">
      <c r="A3" s="50" t="inlineStr">
        <is>
          <t>JV-0001</t>
        </is>
      </c>
      <c r="B3" s="87" t="n">
        <v>46213</v>
      </c>
      <c r="C3" s="50" t="inlineStr">
        <is>
          <t>Customer Advances:Token Money - Units</t>
        </is>
      </c>
      <c r="D3" s="50" t="n">
        <v>21100</v>
      </c>
      <c r="E3" s="50" t="inlineStr">
        <is>
          <t>Suhail:GF-129</t>
        </is>
      </c>
      <c r="F3" s="50" t="inlineStr">
        <is>
          <t>GF</t>
        </is>
      </c>
      <c r="G3" s="88" t="n"/>
      <c r="H3" s="88" t="n">
        <v>10000</v>
      </c>
      <c r="I3" s="50" t="inlineStr">
        <is>
          <t>Token 102 - unit GF-129</t>
        </is>
      </c>
      <c r="J3" t="inlineStr">
        <is>
          <t>16-Sep</t>
        </is>
      </c>
    </row>
    <row r="4">
      <c r="A4" s="50" t="inlineStr">
        <is>
          <t>JV-0002</t>
        </is>
      </c>
      <c r="B4" s="87" t="n">
        <v>46232</v>
      </c>
      <c r="C4" s="50" t="inlineStr">
        <is>
          <t>Due to / from Group Companies:FMH - Fourteen Manzil Heights</t>
        </is>
      </c>
      <c r="D4" s="50" t="n">
        <v>22100</v>
      </c>
      <c r="E4" s="50" t="inlineStr">
        <is>
          <t>FMH</t>
        </is>
      </c>
      <c r="F4" s="50" t="inlineStr">
        <is>
          <t>Project-wide</t>
        </is>
      </c>
      <c r="G4" s="88" t="n">
        <v>40000</v>
      </c>
      <c r="H4" s="88" t="n"/>
      <c r="I4" s="50" t="inlineStr">
        <is>
          <t>Token 103 received by FMH office - Online to 14 Development</t>
        </is>
      </c>
      <c r="J4" t="inlineStr">
        <is>
          <t>16-Sep</t>
        </is>
      </c>
    </row>
    <row r="5">
      <c r="A5" s="50" t="inlineStr">
        <is>
          <t>JV-0002</t>
        </is>
      </c>
      <c r="B5" s="87" t="n">
        <v>46232</v>
      </c>
      <c r="C5" s="50" t="inlineStr">
        <is>
          <t>Customer Advances:Token Money - Units</t>
        </is>
      </c>
      <c r="D5" s="50" t="n">
        <v>21100</v>
      </c>
      <c r="E5" s="50" t="inlineStr">
        <is>
          <t>Hassan Jan:GF-129</t>
        </is>
      </c>
      <c r="F5" s="50" t="inlineStr">
        <is>
          <t>GF</t>
        </is>
      </c>
      <c r="G5" s="88" t="n"/>
      <c r="H5" s="88" t="n">
        <v>40000</v>
      </c>
      <c r="I5" s="50" t="inlineStr">
        <is>
          <t>Token 103 - unit GF-129</t>
        </is>
      </c>
      <c r="J5" t="inlineStr">
        <is>
          <t>16-Sep</t>
        </is>
      </c>
    </row>
    <row r="6">
      <c r="A6" s="50" t="inlineStr">
        <is>
          <t>JV-0003</t>
        </is>
      </c>
      <c r="B6" s="87" t="n">
        <v>46253</v>
      </c>
      <c r="C6" s="50" t="inlineStr">
        <is>
          <t>Due to / from Group Companies:FMH - Fourteen Manzil Heights</t>
        </is>
      </c>
      <c r="D6" s="50" t="n">
        <v>22100</v>
      </c>
      <c r="E6" s="50" t="inlineStr">
        <is>
          <t>FMH</t>
        </is>
      </c>
      <c r="F6" s="50" t="inlineStr">
        <is>
          <t>Project-wide</t>
        </is>
      </c>
      <c r="G6" s="88" t="n">
        <v>10000</v>
      </c>
      <c r="H6" s="88" t="n"/>
      <c r="I6" s="50" t="inlineStr">
        <is>
          <t>Token 105 received by FMH office - Cash</t>
        </is>
      </c>
      <c r="J6" t="inlineStr">
        <is>
          <t>16-Sep</t>
        </is>
      </c>
    </row>
    <row r="7">
      <c r="A7" s="50" t="inlineStr">
        <is>
          <t>JV-0003</t>
        </is>
      </c>
      <c r="B7" s="87" t="n">
        <v>46253</v>
      </c>
      <c r="C7" s="50" t="inlineStr">
        <is>
          <t>Customer Advances:Token Money - Units</t>
        </is>
      </c>
      <c r="D7" s="50" t="n">
        <v>21100</v>
      </c>
      <c r="E7" s="50" t="inlineStr">
        <is>
          <t>Raza Ullah:GF-112</t>
        </is>
      </c>
      <c r="F7" s="50" t="inlineStr">
        <is>
          <t>GF</t>
        </is>
      </c>
      <c r="G7" s="88" t="n"/>
      <c r="H7" s="88" t="n">
        <v>10000</v>
      </c>
      <c r="I7" s="50" t="inlineStr">
        <is>
          <t>Token 105 - unit GF-112</t>
        </is>
      </c>
      <c r="J7" t="inlineStr">
        <is>
          <t>16-Sep</t>
        </is>
      </c>
    </row>
    <row r="8">
      <c r="A8" s="50" t="inlineStr">
        <is>
          <t>JV-0004</t>
        </is>
      </c>
      <c r="B8" s="87" t="n">
        <v>46253</v>
      </c>
      <c r="C8" s="50" t="inlineStr">
        <is>
          <t>Due to / from Group Companies:FMH - Fourteen Manzil Heights</t>
        </is>
      </c>
      <c r="D8" s="50" t="n">
        <v>22100</v>
      </c>
      <c r="E8" s="50" t="inlineStr">
        <is>
          <t>FMH</t>
        </is>
      </c>
      <c r="F8" s="50" t="inlineStr">
        <is>
          <t>Project-wide</t>
        </is>
      </c>
      <c r="G8" s="88" t="n">
        <v>10000</v>
      </c>
      <c r="H8" s="88" t="n"/>
      <c r="I8" s="50" t="inlineStr">
        <is>
          <t>Token 106 received by FMH office - Cash</t>
        </is>
      </c>
      <c r="J8" t="inlineStr">
        <is>
          <t>16-Sep</t>
        </is>
      </c>
    </row>
    <row r="9">
      <c r="A9" s="50" t="inlineStr">
        <is>
          <t>JV-0004</t>
        </is>
      </c>
      <c r="B9" s="87" t="n">
        <v>46253</v>
      </c>
      <c r="C9" s="50" t="inlineStr">
        <is>
          <t>Customer Advances:Token Money - Units</t>
        </is>
      </c>
      <c r="D9" s="50" t="n">
        <v>21100</v>
      </c>
      <c r="E9" s="50" t="inlineStr">
        <is>
          <t>Raza Ullah:GF-176</t>
        </is>
      </c>
      <c r="F9" s="50" t="inlineStr">
        <is>
          <t>GF</t>
        </is>
      </c>
      <c r="G9" s="88" t="n"/>
      <c r="H9" s="88" t="n">
        <v>10000</v>
      </c>
      <c r="I9" s="50" t="inlineStr">
        <is>
          <t>Token 106 - unit GF-176</t>
        </is>
      </c>
      <c r="J9" t="inlineStr">
        <is>
          <t>16-Sep</t>
        </is>
      </c>
    </row>
    <row r="10">
      <c r="A10" s="50" t="inlineStr">
        <is>
          <t>JV-0005</t>
        </is>
      </c>
      <c r="B10" s="87" t="n">
        <v>46262</v>
      </c>
      <c r="C10" s="50" t="inlineStr">
        <is>
          <t>Due to / from Group Companies:FMH - Fourteen Manzil Heights</t>
        </is>
      </c>
      <c r="D10" s="50" t="n">
        <v>22100</v>
      </c>
      <c r="E10" s="50" t="inlineStr">
        <is>
          <t>FMH</t>
        </is>
      </c>
      <c r="F10" s="50" t="inlineStr">
        <is>
          <t>Project-wide</t>
        </is>
      </c>
      <c r="G10" s="88" t="n">
        <v>10000</v>
      </c>
      <c r="H10" s="88" t="n"/>
      <c r="I10" s="50" t="inlineStr">
        <is>
          <t>Token 107 received by FMH office - Cash</t>
        </is>
      </c>
      <c r="J10" t="inlineStr">
        <is>
          <t>16-Sep</t>
        </is>
      </c>
    </row>
    <row r="11">
      <c r="A11" s="50" t="inlineStr">
        <is>
          <t>JV-0005</t>
        </is>
      </c>
      <c r="B11" s="87" t="n">
        <v>46262</v>
      </c>
      <c r="C11" s="50" t="inlineStr">
        <is>
          <t>Customer Advances:Token Money - Units</t>
        </is>
      </c>
      <c r="D11" s="50" t="n">
        <v>21100</v>
      </c>
      <c r="E11" s="50" t="inlineStr">
        <is>
          <t>Samin Khan Bangash:LG-132</t>
        </is>
      </c>
      <c r="F11" s="50" t="inlineStr">
        <is>
          <t>LG</t>
        </is>
      </c>
      <c r="G11" s="88" t="n"/>
      <c r="H11" s="88" t="n">
        <v>5000</v>
      </c>
      <c r="I11" s="50" t="inlineStr">
        <is>
          <t>Token 107 - unit LG-132</t>
        </is>
      </c>
      <c r="J11" t="inlineStr">
        <is>
          <t>16-Sep</t>
        </is>
      </c>
    </row>
    <row r="12">
      <c r="A12" s="50" t="inlineStr">
        <is>
          <t>JV-0005</t>
        </is>
      </c>
      <c r="B12" s="87" t="n">
        <v>46262</v>
      </c>
      <c r="C12" s="50" t="inlineStr">
        <is>
          <t>Customer Advances:Token Money - Units</t>
        </is>
      </c>
      <c r="D12" s="50" t="n">
        <v>21100</v>
      </c>
      <c r="E12" s="50" t="inlineStr">
        <is>
          <t>Samin Khan Bangash:LG-133</t>
        </is>
      </c>
      <c r="F12" s="50" t="inlineStr">
        <is>
          <t>LG</t>
        </is>
      </c>
      <c r="G12" s="88" t="n"/>
      <c r="H12" s="88" t="n">
        <v>5000</v>
      </c>
      <c r="I12" s="50" t="inlineStr">
        <is>
          <t>Token 107 - unit LG-133</t>
        </is>
      </c>
      <c r="J12" t="inlineStr">
        <is>
          <t>16-Sep</t>
        </is>
      </c>
    </row>
    <row r="13">
      <c r="A13" s="50" t="inlineStr">
        <is>
          <t>JV-0006</t>
        </is>
      </c>
      <c r="B13" s="87" t="n">
        <v>46266</v>
      </c>
      <c r="C13" s="50" t="inlineStr">
        <is>
          <t>Due to / from Group Companies:FMH - Fourteen Manzil Heights</t>
        </is>
      </c>
      <c r="D13" s="50" t="n">
        <v>22100</v>
      </c>
      <c r="E13" s="50" t="inlineStr">
        <is>
          <t>FMH</t>
        </is>
      </c>
      <c r="F13" s="50" t="inlineStr">
        <is>
          <t>Project-wide</t>
        </is>
      </c>
      <c r="G13" s="88" t="n">
        <v>100000</v>
      </c>
      <c r="H13" s="88" t="n"/>
      <c r="I13" s="50" t="inlineStr">
        <is>
          <t>Token 108 received by FMH office - Online to 14 Development</t>
        </is>
      </c>
      <c r="J13" t="inlineStr">
        <is>
          <t>16-Sep</t>
        </is>
      </c>
    </row>
    <row r="14">
      <c r="A14" s="50" t="inlineStr">
        <is>
          <t>JV-0006</t>
        </is>
      </c>
      <c r="B14" s="87" t="n">
        <v>46266</v>
      </c>
      <c r="C14" s="50" t="inlineStr">
        <is>
          <t>Customer Advances:Token Money - Units</t>
        </is>
      </c>
      <c r="D14" s="50" t="n">
        <v>21100</v>
      </c>
      <c r="E14" s="50" t="inlineStr">
        <is>
          <t>Hassan Jan:GF-129</t>
        </is>
      </c>
      <c r="F14" s="50" t="inlineStr">
        <is>
          <t>GF</t>
        </is>
      </c>
      <c r="G14" s="88" t="n"/>
      <c r="H14" s="88" t="n">
        <v>100000</v>
      </c>
      <c r="I14" s="50" t="inlineStr">
        <is>
          <t>Token 108 - unit GF-129</t>
        </is>
      </c>
      <c r="J14" t="inlineStr">
        <is>
          <t>16-Sep</t>
        </is>
      </c>
    </row>
    <row r="15">
      <c r="A15" s="50" t="inlineStr">
        <is>
          <t>JV-0007</t>
        </is>
      </c>
      <c r="B15" s="87" t="n">
        <v>46269</v>
      </c>
      <c r="C15" s="50" t="inlineStr">
        <is>
          <t>Due to / from Group Companies:FMH - Fourteen Manzil Heights</t>
        </is>
      </c>
      <c r="D15" s="50" t="n">
        <v>22100</v>
      </c>
      <c r="E15" s="50" t="inlineStr">
        <is>
          <t>FMH</t>
        </is>
      </c>
      <c r="F15" s="50" t="inlineStr">
        <is>
          <t>Project-wide</t>
        </is>
      </c>
      <c r="G15" s="88" t="n">
        <v>500000</v>
      </c>
      <c r="H15" s="88" t="n"/>
      <c r="I15" s="50" t="inlineStr">
        <is>
          <t>Token 109 received by FMH office - Cash</t>
        </is>
      </c>
      <c r="J15" t="inlineStr">
        <is>
          <t>16-Sep</t>
        </is>
      </c>
    </row>
    <row r="16">
      <c r="A16" s="50" t="inlineStr">
        <is>
          <t>JV-0007</t>
        </is>
      </c>
      <c r="B16" s="87" t="n">
        <v>46269</v>
      </c>
      <c r="C16" s="50" t="inlineStr">
        <is>
          <t>Customer Advances:Token Money - Units</t>
        </is>
      </c>
      <c r="D16" s="50" t="n">
        <v>21100</v>
      </c>
      <c r="E16" s="50" t="inlineStr">
        <is>
          <t>Haji Ibrar:LG-05</t>
        </is>
      </c>
      <c r="F16" s="50" t="inlineStr">
        <is>
          <t>LG</t>
        </is>
      </c>
      <c r="G16" s="88" t="n"/>
      <c r="H16" s="88" t="n">
        <v>55555.56</v>
      </c>
      <c r="I16" s="50" t="inlineStr">
        <is>
          <t>Token 109 - unit LG-05</t>
        </is>
      </c>
      <c r="J16" t="inlineStr">
        <is>
          <t>16-Sep</t>
        </is>
      </c>
    </row>
    <row r="17">
      <c r="A17" s="50" t="inlineStr">
        <is>
          <t>JV-0007</t>
        </is>
      </c>
      <c r="B17" s="87" t="n">
        <v>46269</v>
      </c>
      <c r="C17" s="50" t="inlineStr">
        <is>
          <t>Customer Advances:Token Money - Units</t>
        </is>
      </c>
      <c r="D17" s="50" t="n">
        <v>21100</v>
      </c>
      <c r="E17" s="50" t="inlineStr">
        <is>
          <t>Haji Ibrar:LG-06</t>
        </is>
      </c>
      <c r="F17" s="50" t="inlineStr">
        <is>
          <t>LG</t>
        </is>
      </c>
      <c r="G17" s="88" t="n"/>
      <c r="H17" s="88" t="n">
        <v>55555.56</v>
      </c>
      <c r="I17" s="50" t="inlineStr">
        <is>
          <t>Token 109 - unit LG-06</t>
        </is>
      </c>
      <c r="J17" t="inlineStr">
        <is>
          <t>16-Sep</t>
        </is>
      </c>
    </row>
    <row r="18">
      <c r="A18" s="50" t="inlineStr">
        <is>
          <t>JV-0007</t>
        </is>
      </c>
      <c r="B18" s="87" t="n">
        <v>46269</v>
      </c>
      <c r="C18" s="50" t="inlineStr">
        <is>
          <t>Customer Advances:Token Money - Units</t>
        </is>
      </c>
      <c r="D18" s="50" t="n">
        <v>21100</v>
      </c>
      <c r="E18" s="50" t="inlineStr">
        <is>
          <t>Waqar Ahmad - Units:LG-47</t>
        </is>
      </c>
      <c r="F18" s="50" t="inlineStr">
        <is>
          <t>LG</t>
        </is>
      </c>
      <c r="G18" s="88" t="n"/>
      <c r="H18" s="88" t="n">
        <v>55555.56</v>
      </c>
      <c r="I18" s="50" t="inlineStr">
        <is>
          <t>Token 109 - unit LG-47</t>
        </is>
      </c>
      <c r="J18" t="inlineStr">
        <is>
          <t>16-Sep</t>
        </is>
      </c>
    </row>
    <row r="19">
      <c r="A19" s="50" t="inlineStr">
        <is>
          <t>JV-0007</t>
        </is>
      </c>
      <c r="B19" s="87" t="n">
        <v>46269</v>
      </c>
      <c r="C19" s="50" t="inlineStr">
        <is>
          <t>Customer Advances:Token Money - Units</t>
        </is>
      </c>
      <c r="D19" s="50" t="n">
        <v>21100</v>
      </c>
      <c r="E19" s="50" t="inlineStr">
        <is>
          <t>Waqar Ahmad - Units:LG-48</t>
        </is>
      </c>
      <c r="F19" s="50" t="inlineStr">
        <is>
          <t>LG</t>
        </is>
      </c>
      <c r="G19" s="88" t="n"/>
      <c r="H19" s="88" t="n">
        <v>55555.56</v>
      </c>
      <c r="I19" s="50" t="inlineStr">
        <is>
          <t>Token 109 - unit LG-48</t>
        </is>
      </c>
      <c r="J19" t="inlineStr">
        <is>
          <t>16-Sep</t>
        </is>
      </c>
    </row>
    <row r="20">
      <c r="A20" s="50" t="inlineStr">
        <is>
          <t>JV-0007</t>
        </is>
      </c>
      <c r="B20" s="87" t="n">
        <v>46269</v>
      </c>
      <c r="C20" s="50" t="inlineStr">
        <is>
          <t>Customer Advances:Token Money - Units</t>
        </is>
      </c>
      <c r="D20" s="50" t="n">
        <v>21100</v>
      </c>
      <c r="E20" s="50" t="inlineStr">
        <is>
          <t>Waqar Ahmad - Units:LG-49</t>
        </is>
      </c>
      <c r="F20" s="50" t="inlineStr">
        <is>
          <t>LG</t>
        </is>
      </c>
      <c r="G20" s="88" t="n"/>
      <c r="H20" s="88" t="n">
        <v>55555.56</v>
      </c>
      <c r="I20" s="50" t="inlineStr">
        <is>
          <t>Token 109 - unit LG-49</t>
        </is>
      </c>
      <c r="J20" t="inlineStr">
        <is>
          <t>16-Sep</t>
        </is>
      </c>
    </row>
    <row r="21">
      <c r="A21" s="50" t="inlineStr">
        <is>
          <t>JV-0007</t>
        </is>
      </c>
      <c r="B21" s="87" t="n">
        <v>46269</v>
      </c>
      <c r="C21" s="50" t="inlineStr">
        <is>
          <t>Customer Advances:Token Money - Units</t>
        </is>
      </c>
      <c r="D21" s="50" t="n">
        <v>21100</v>
      </c>
      <c r="E21" s="50" t="inlineStr">
        <is>
          <t>Waqar Ahmad - Units:LG-50</t>
        </is>
      </c>
      <c r="F21" s="50" t="inlineStr">
        <is>
          <t>LG</t>
        </is>
      </c>
      <c r="G21" s="88" t="n"/>
      <c r="H21" s="88" t="n">
        <v>55555.56</v>
      </c>
      <c r="I21" s="50" t="inlineStr">
        <is>
          <t>Token 109 - unit LG-50</t>
        </is>
      </c>
      <c r="J21" t="inlineStr">
        <is>
          <t>16-Sep</t>
        </is>
      </c>
    </row>
    <row r="22">
      <c r="A22" s="50" t="inlineStr">
        <is>
          <t>JV-0007</t>
        </is>
      </c>
      <c r="B22" s="87" t="n">
        <v>46269</v>
      </c>
      <c r="C22" s="50" t="inlineStr">
        <is>
          <t>Customer Advances:Token Money - Units</t>
        </is>
      </c>
      <c r="D22" s="50" t="n">
        <v>21100</v>
      </c>
      <c r="E22" s="50" t="inlineStr">
        <is>
          <t>Waqar Ahmad - Units:LG-91</t>
        </is>
      </c>
      <c r="F22" s="50" t="inlineStr">
        <is>
          <t>LG</t>
        </is>
      </c>
      <c r="G22" s="88" t="n"/>
      <c r="H22" s="88" t="n">
        <v>55555.56</v>
      </c>
      <c r="I22" s="50" t="inlineStr">
        <is>
          <t>Token 109 - unit LG-91</t>
        </is>
      </c>
      <c r="J22" t="inlineStr">
        <is>
          <t>16-Sep</t>
        </is>
      </c>
    </row>
    <row r="23">
      <c r="A23" s="50" t="inlineStr">
        <is>
          <t>JV-0007</t>
        </is>
      </c>
      <c r="B23" s="87" t="n">
        <v>46269</v>
      </c>
      <c r="C23" s="50" t="inlineStr">
        <is>
          <t>Customer Advances:Token Money - Units</t>
        </is>
      </c>
      <c r="D23" s="50" t="n">
        <v>21100</v>
      </c>
      <c r="E23" s="50" t="inlineStr">
        <is>
          <t>Waqar Ahmad - Units:LG-92</t>
        </is>
      </c>
      <c r="F23" s="50" t="inlineStr">
        <is>
          <t>LG</t>
        </is>
      </c>
      <c r="G23" s="88" t="n"/>
      <c r="H23" s="88" t="n">
        <v>55555.56</v>
      </c>
      <c r="I23" s="50" t="inlineStr">
        <is>
          <t>Token 109 - unit LG-92</t>
        </is>
      </c>
      <c r="J23" t="inlineStr">
        <is>
          <t>16-Sep</t>
        </is>
      </c>
    </row>
    <row r="24">
      <c r="A24" s="50" t="inlineStr">
        <is>
          <t>JV-0007</t>
        </is>
      </c>
      <c r="B24" s="87" t="n">
        <v>46269</v>
      </c>
      <c r="C24" s="50" t="inlineStr">
        <is>
          <t>Customer Advances:Token Money - Units</t>
        </is>
      </c>
      <c r="D24" s="50" t="n">
        <v>21100</v>
      </c>
      <c r="E24" s="50" t="inlineStr">
        <is>
          <t>Waqar Ahmad - Units:LG-93</t>
        </is>
      </c>
      <c r="F24" s="50" t="inlineStr">
        <is>
          <t>LG</t>
        </is>
      </c>
      <c r="G24" s="88" t="n"/>
      <c r="H24" s="88" t="n">
        <v>55555.52</v>
      </c>
      <c r="I24" s="50" t="inlineStr">
        <is>
          <t>Token 109 - unit LG-93</t>
        </is>
      </c>
      <c r="J24" t="inlineStr">
        <is>
          <t>16-Sep</t>
        </is>
      </c>
    </row>
    <row r="25">
      <c r="A25" s="50" t="inlineStr">
        <is>
          <t>JV-0008</t>
        </is>
      </c>
      <c r="B25" s="87" t="n">
        <v>46269</v>
      </c>
      <c r="C25" s="50" t="inlineStr">
        <is>
          <t>Due to / from Group Companies:FMH - Fourteen Manzil Heights</t>
        </is>
      </c>
      <c r="D25" s="50" t="n">
        <v>22100</v>
      </c>
      <c r="E25" s="50" t="inlineStr">
        <is>
          <t>FMH</t>
        </is>
      </c>
      <c r="F25" s="50" t="inlineStr">
        <is>
          <t>Project-wide</t>
        </is>
      </c>
      <c r="G25" s="88" t="n">
        <v>200000</v>
      </c>
      <c r="H25" s="88" t="n"/>
      <c r="I25" s="50" t="inlineStr">
        <is>
          <t>Token 110 received by FMH office - Cash</t>
        </is>
      </c>
      <c r="J25" t="inlineStr">
        <is>
          <t>16-Sep</t>
        </is>
      </c>
    </row>
    <row r="26">
      <c r="A26" s="50" t="inlineStr">
        <is>
          <t>JV-0008</t>
        </is>
      </c>
      <c r="B26" s="87" t="n">
        <v>46269</v>
      </c>
      <c r="C26" s="50" t="inlineStr">
        <is>
          <t>Customer Advances:Token Money - Units</t>
        </is>
      </c>
      <c r="D26" s="50" t="n">
        <v>21100</v>
      </c>
      <c r="E26" s="50" t="inlineStr">
        <is>
          <t>Hussain:LG-54</t>
        </is>
      </c>
      <c r="F26" s="50" t="inlineStr">
        <is>
          <t>LG</t>
        </is>
      </c>
      <c r="G26" s="88" t="n"/>
      <c r="H26" s="88" t="n">
        <v>100000</v>
      </c>
      <c r="I26" s="50" t="inlineStr">
        <is>
          <t>Token 110 - unit LG-54</t>
        </is>
      </c>
      <c r="J26" t="inlineStr">
        <is>
          <t>16-Sep</t>
        </is>
      </c>
    </row>
    <row r="27">
      <c r="A27" s="50" t="inlineStr">
        <is>
          <t>JV-0008</t>
        </is>
      </c>
      <c r="B27" s="87" t="n">
        <v>46269</v>
      </c>
      <c r="C27" s="50" t="inlineStr">
        <is>
          <t>Customer Advances:Token Money - Units</t>
        </is>
      </c>
      <c r="D27" s="50" t="n">
        <v>21100</v>
      </c>
      <c r="E27" s="50" t="inlineStr">
        <is>
          <t>Hussain:LG-97</t>
        </is>
      </c>
      <c r="F27" s="50" t="inlineStr">
        <is>
          <t>LG</t>
        </is>
      </c>
      <c r="G27" s="88" t="n"/>
      <c r="H27" s="88" t="n">
        <v>100000</v>
      </c>
      <c r="I27" s="50" t="inlineStr">
        <is>
          <t>Token 110 - unit LG-97</t>
        </is>
      </c>
      <c r="J27" t="inlineStr">
        <is>
          <t>16-Sep</t>
        </is>
      </c>
    </row>
    <row r="28">
      <c r="A28" s="50" t="inlineStr">
        <is>
          <t>JV-0009</t>
        </is>
      </c>
      <c r="B28" s="87" t="n">
        <v>46270</v>
      </c>
      <c r="C28" s="50" t="inlineStr">
        <is>
          <t>Due to / from Group Companies:FMH - Fourteen Manzil Heights</t>
        </is>
      </c>
      <c r="D28" s="50" t="n">
        <v>22100</v>
      </c>
      <c r="E28" s="50" t="inlineStr">
        <is>
          <t>FMH</t>
        </is>
      </c>
      <c r="F28" s="50" t="inlineStr">
        <is>
          <t>Project-wide</t>
        </is>
      </c>
      <c r="G28" s="88" t="n">
        <v>600000</v>
      </c>
      <c r="H28" s="88" t="n"/>
      <c r="I28" s="50" t="inlineStr">
        <is>
          <t>Token 111 received by FMH office - Cash</t>
        </is>
      </c>
      <c r="J28" t="inlineStr">
        <is>
          <t>16-Sep</t>
        </is>
      </c>
    </row>
    <row r="29">
      <c r="A29" s="50" t="inlineStr">
        <is>
          <t>JV-0009</t>
        </is>
      </c>
      <c r="B29" s="87" t="n">
        <v>46270</v>
      </c>
      <c r="C29" s="50" t="inlineStr">
        <is>
          <t>Customer Advances:Token Money - Units</t>
        </is>
      </c>
      <c r="D29" s="50" t="n">
        <v>21100</v>
      </c>
      <c r="E29" s="50" t="inlineStr">
        <is>
          <t>Haji Ibrar:LG-01</t>
        </is>
      </c>
      <c r="F29" s="50" t="inlineStr">
        <is>
          <t>LG</t>
        </is>
      </c>
      <c r="G29" s="88" t="n"/>
      <c r="H29" s="88" t="n">
        <v>66666.67</v>
      </c>
      <c r="I29" s="50" t="inlineStr">
        <is>
          <t>Token 111 - unit LG-01</t>
        </is>
      </c>
      <c r="J29" t="inlineStr">
        <is>
          <t>16-Sep</t>
        </is>
      </c>
    </row>
    <row r="30">
      <c r="A30" s="50" t="inlineStr">
        <is>
          <t>JV-0009</t>
        </is>
      </c>
      <c r="B30" s="87" t="n">
        <v>46270</v>
      </c>
      <c r="C30" s="50" t="inlineStr">
        <is>
          <t>Customer Advances:Token Money - Units</t>
        </is>
      </c>
      <c r="D30" s="50" t="n">
        <v>21100</v>
      </c>
      <c r="E30" s="50" t="inlineStr">
        <is>
          <t>Haji Ibrar:LG-02</t>
        </is>
      </c>
      <c r="F30" s="50" t="inlineStr">
        <is>
          <t>LG</t>
        </is>
      </c>
      <c r="G30" s="88" t="n"/>
      <c r="H30" s="88" t="n">
        <v>66666.67</v>
      </c>
      <c r="I30" s="50" t="inlineStr">
        <is>
          <t>Token 111 - unit LG-02</t>
        </is>
      </c>
      <c r="J30" t="inlineStr">
        <is>
          <t>16-Sep</t>
        </is>
      </c>
    </row>
    <row r="31">
      <c r="A31" s="50" t="inlineStr">
        <is>
          <t>JV-0009</t>
        </is>
      </c>
      <c r="B31" s="87" t="n">
        <v>46270</v>
      </c>
      <c r="C31" s="50" t="inlineStr">
        <is>
          <t>Customer Advances:Token Money - Units</t>
        </is>
      </c>
      <c r="D31" s="50" t="n">
        <v>21100</v>
      </c>
      <c r="E31" s="50" t="inlineStr">
        <is>
          <t>Haji Ibrar:LG-03</t>
        </is>
      </c>
      <c r="F31" s="50" t="inlineStr">
        <is>
          <t>LG</t>
        </is>
      </c>
      <c r="G31" s="88" t="n"/>
      <c r="H31" s="88" t="n">
        <v>66666.67</v>
      </c>
      <c r="I31" s="50" t="inlineStr">
        <is>
          <t>Token 111 - unit LG-03</t>
        </is>
      </c>
      <c r="J31" t="inlineStr">
        <is>
          <t>16-Sep</t>
        </is>
      </c>
    </row>
    <row r="32">
      <c r="A32" s="50" t="inlineStr">
        <is>
          <t>JV-0009</t>
        </is>
      </c>
      <c r="B32" s="87" t="n">
        <v>46270</v>
      </c>
      <c r="C32" s="50" t="inlineStr">
        <is>
          <t>Customer Advances:Token Money - Units</t>
        </is>
      </c>
      <c r="D32" s="50" t="n">
        <v>21100</v>
      </c>
      <c r="E32" s="50" t="inlineStr">
        <is>
          <t>Haji Ibrar:LG-04</t>
        </is>
      </c>
      <c r="F32" s="50" t="inlineStr">
        <is>
          <t>LG</t>
        </is>
      </c>
      <c r="G32" s="88" t="n"/>
      <c r="H32" s="88" t="n">
        <v>66666.67</v>
      </c>
      <c r="I32" s="50" t="inlineStr">
        <is>
          <t>Token 111 - unit LG-04</t>
        </is>
      </c>
      <c r="J32" t="inlineStr">
        <is>
          <t>16-Sep</t>
        </is>
      </c>
    </row>
    <row r="33">
      <c r="A33" s="50" t="inlineStr">
        <is>
          <t>JV-0009</t>
        </is>
      </c>
      <c r="B33" s="87" t="n">
        <v>46270</v>
      </c>
      <c r="C33" s="50" t="inlineStr">
        <is>
          <t>Customer Advances:Token Money - Units</t>
        </is>
      </c>
      <c r="D33" s="50" t="n">
        <v>21100</v>
      </c>
      <c r="E33" s="50" t="inlineStr">
        <is>
          <t>Haji Ibrar:LG-05</t>
        </is>
      </c>
      <c r="F33" s="50" t="inlineStr">
        <is>
          <t>LG</t>
        </is>
      </c>
      <c r="G33" s="88" t="n"/>
      <c r="H33" s="88" t="n">
        <v>66666.67</v>
      </c>
      <c r="I33" s="50" t="inlineStr">
        <is>
          <t>Token 111 - unit LG-05</t>
        </is>
      </c>
      <c r="J33" t="inlineStr">
        <is>
          <t>16-Sep</t>
        </is>
      </c>
    </row>
    <row r="34">
      <c r="A34" s="50" t="inlineStr">
        <is>
          <t>JV-0009</t>
        </is>
      </c>
      <c r="B34" s="87" t="n">
        <v>46270</v>
      </c>
      <c r="C34" s="50" t="inlineStr">
        <is>
          <t>Customer Advances:Token Money - Units</t>
        </is>
      </c>
      <c r="D34" s="50" t="n">
        <v>21100</v>
      </c>
      <c r="E34" s="50" t="inlineStr">
        <is>
          <t>Haji Ibrar:LG-06</t>
        </is>
      </c>
      <c r="F34" s="50" t="inlineStr">
        <is>
          <t>LG</t>
        </is>
      </c>
      <c r="G34" s="88" t="n"/>
      <c r="H34" s="88" t="n">
        <v>66666.67</v>
      </c>
      <c r="I34" s="50" t="inlineStr">
        <is>
          <t>Token 111 - unit LG-06</t>
        </is>
      </c>
      <c r="J34" t="inlineStr">
        <is>
          <t>16-Sep</t>
        </is>
      </c>
    </row>
    <row r="35">
      <c r="A35" s="50" t="inlineStr">
        <is>
          <t>JV-0009</t>
        </is>
      </c>
      <c r="B35" s="87" t="n">
        <v>46270</v>
      </c>
      <c r="C35" s="50" t="inlineStr">
        <is>
          <t>Customer Advances:Token Money - Units</t>
        </is>
      </c>
      <c r="D35" s="50" t="n">
        <v>21100</v>
      </c>
      <c r="E35" s="50" t="inlineStr">
        <is>
          <t>Haji Ibrar:LG-07</t>
        </is>
      </c>
      <c r="F35" s="50" t="inlineStr">
        <is>
          <t>LG</t>
        </is>
      </c>
      <c r="G35" s="88" t="n"/>
      <c r="H35" s="88" t="n">
        <v>66666.67</v>
      </c>
      <c r="I35" s="50" t="inlineStr">
        <is>
          <t>Token 111 - unit LG-07</t>
        </is>
      </c>
      <c r="J35" t="inlineStr">
        <is>
          <t>16-Sep</t>
        </is>
      </c>
    </row>
    <row r="36">
      <c r="A36" s="50" t="inlineStr">
        <is>
          <t>JV-0009</t>
        </is>
      </c>
      <c r="B36" s="87" t="n">
        <v>46270</v>
      </c>
      <c r="C36" s="50" t="inlineStr">
        <is>
          <t>Customer Advances:Token Money - Units</t>
        </is>
      </c>
      <c r="D36" s="50" t="n">
        <v>21100</v>
      </c>
      <c r="E36" s="50" t="inlineStr">
        <is>
          <t>Haji Ibrar:LG-08</t>
        </is>
      </c>
      <c r="F36" s="50" t="inlineStr">
        <is>
          <t>LG</t>
        </is>
      </c>
      <c r="G36" s="88" t="n"/>
      <c r="H36" s="88" t="n">
        <v>66666.67</v>
      </c>
      <c r="I36" s="50" t="inlineStr">
        <is>
          <t>Token 111 - unit LG-08</t>
        </is>
      </c>
      <c r="J36" t="inlineStr">
        <is>
          <t>16-Sep</t>
        </is>
      </c>
    </row>
    <row r="37">
      <c r="A37" s="50" t="inlineStr">
        <is>
          <t>JV-0009</t>
        </is>
      </c>
      <c r="B37" s="87" t="n">
        <v>46270</v>
      </c>
      <c r="C37" s="50" t="inlineStr">
        <is>
          <t>Customer Advances:Token Money - Units</t>
        </is>
      </c>
      <c r="D37" s="50" t="n">
        <v>21100</v>
      </c>
      <c r="E37" s="50" t="inlineStr">
        <is>
          <t>Haji Ibrar:LG-09</t>
        </is>
      </c>
      <c r="F37" s="50" t="inlineStr">
        <is>
          <t>LG</t>
        </is>
      </c>
      <c r="G37" s="88" t="n"/>
      <c r="H37" s="88" t="n">
        <v>66666.64</v>
      </c>
      <c r="I37" s="50" t="inlineStr">
        <is>
          <t>Token 111 - unit LG-09</t>
        </is>
      </c>
      <c r="J37" t="inlineStr">
        <is>
          <t>16-Sep</t>
        </is>
      </c>
    </row>
    <row r="38">
      <c r="A38" s="50" t="inlineStr">
        <is>
          <t>JV-0010</t>
        </is>
      </c>
      <c r="B38" s="87" t="n">
        <v>46270</v>
      </c>
      <c r="C38" s="50" t="inlineStr">
        <is>
          <t>Due to / from Group Companies:FMH - Fourteen Manzil Heights</t>
        </is>
      </c>
      <c r="D38" s="50" t="n">
        <v>22100</v>
      </c>
      <c r="E38" s="50" t="inlineStr">
        <is>
          <t>FMH</t>
        </is>
      </c>
      <c r="F38" s="50" t="inlineStr">
        <is>
          <t>Project-wide</t>
        </is>
      </c>
      <c r="G38" s="88" t="n">
        <v>500000</v>
      </c>
      <c r="H38" s="88" t="n"/>
      <c r="I38" s="50" t="inlineStr">
        <is>
          <t>Token 112 received by FMH office - Cash</t>
        </is>
      </c>
      <c r="J38" t="inlineStr">
        <is>
          <t>16-Sep</t>
        </is>
      </c>
    </row>
    <row r="39">
      <c r="A39" s="50" t="inlineStr">
        <is>
          <t>JV-0010</t>
        </is>
      </c>
      <c r="B39" s="87" t="n">
        <v>46270</v>
      </c>
      <c r="C39" s="50" t="inlineStr">
        <is>
          <t>Customer Advances:Token Money - Units</t>
        </is>
      </c>
      <c r="D39" s="50" t="n">
        <v>21100</v>
      </c>
      <c r="E39" s="50" t="inlineStr">
        <is>
          <t>Malak Ibrar:GF-13</t>
        </is>
      </c>
      <c r="F39" s="50" t="inlineStr">
        <is>
          <t>GF</t>
        </is>
      </c>
      <c r="G39" s="88" t="n"/>
      <c r="H39" s="88" t="n">
        <v>500000</v>
      </c>
      <c r="I39" s="50" t="inlineStr">
        <is>
          <t>Token 112 - unit GF-13</t>
        </is>
      </c>
      <c r="J39" t="inlineStr">
        <is>
          <t>16-Sep</t>
        </is>
      </c>
    </row>
    <row r="40">
      <c r="A40" s="50" t="inlineStr">
        <is>
          <t>JV-0011</t>
        </is>
      </c>
      <c r="B40" s="87" t="n">
        <v>46276</v>
      </c>
      <c r="C40" s="50" t="inlineStr">
        <is>
          <t>Current Assets:Due from Directors:Syed Yousaf Shah</t>
        </is>
      </c>
      <c r="D40" s="50" t="n">
        <v>12610</v>
      </c>
      <c r="E40" s="50" t="inlineStr">
        <is>
          <t>Syed Yousaf Shah</t>
        </is>
      </c>
      <c r="F40" s="50" t="inlineStr">
        <is>
          <t>Project-wide</t>
        </is>
      </c>
      <c r="G40" s="88" t="n">
        <v>800000</v>
      </c>
      <c r="H40" s="88" t="n"/>
      <c r="I40" s="50" t="inlineStr">
        <is>
          <t>Token 113 received by Syed Yousaf Shah - Cash</t>
        </is>
      </c>
      <c r="J40" t="inlineStr">
        <is>
          <t>16-Sep</t>
        </is>
      </c>
    </row>
    <row r="41">
      <c r="A41" s="50" t="inlineStr">
        <is>
          <t>JV-0011</t>
        </is>
      </c>
      <c r="B41" s="87" t="n">
        <v>46276</v>
      </c>
      <c r="C41" s="50" t="inlineStr">
        <is>
          <t>Customer Advances:Token Money - Units</t>
        </is>
      </c>
      <c r="D41" s="50" t="n">
        <v>21100</v>
      </c>
      <c r="E41" s="50" t="inlineStr">
        <is>
          <t>Meena Gul:LG-51</t>
        </is>
      </c>
      <c r="F41" s="50" t="inlineStr">
        <is>
          <t>LG</t>
        </is>
      </c>
      <c r="G41" s="88" t="n"/>
      <c r="H41" s="88" t="n">
        <v>114285.71</v>
      </c>
      <c r="I41" s="50" t="inlineStr">
        <is>
          <t>Token 113 - unit LG-51</t>
        </is>
      </c>
      <c r="J41" t="inlineStr">
        <is>
          <t>16-Sep</t>
        </is>
      </c>
    </row>
    <row r="42">
      <c r="A42" s="50" t="inlineStr">
        <is>
          <t>JV-0011</t>
        </is>
      </c>
      <c r="B42" s="87" t="n">
        <v>46276</v>
      </c>
      <c r="C42" s="50" t="inlineStr">
        <is>
          <t>Customer Advances:Token Money - Units</t>
        </is>
      </c>
      <c r="D42" s="50" t="n">
        <v>21100</v>
      </c>
      <c r="E42" s="50" t="inlineStr">
        <is>
          <t>Meena Gul:LG-52</t>
        </is>
      </c>
      <c r="F42" s="50" t="inlineStr">
        <is>
          <t>LG</t>
        </is>
      </c>
      <c r="G42" s="88" t="n"/>
      <c r="H42" s="88" t="n">
        <v>114285.71</v>
      </c>
      <c r="I42" s="50" t="inlineStr">
        <is>
          <t>Token 113 - unit LG-52</t>
        </is>
      </c>
      <c r="J42" t="inlineStr">
        <is>
          <t>16-Sep</t>
        </is>
      </c>
    </row>
    <row r="43">
      <c r="A43" s="50" t="inlineStr">
        <is>
          <t>JV-0011</t>
        </is>
      </c>
      <c r="B43" s="87" t="n">
        <v>46276</v>
      </c>
      <c r="C43" s="50" t="inlineStr">
        <is>
          <t>Customer Advances:Token Money - Units</t>
        </is>
      </c>
      <c r="D43" s="50" t="n">
        <v>21100</v>
      </c>
      <c r="E43" s="50" t="inlineStr">
        <is>
          <t>Meena Gul:LG-53</t>
        </is>
      </c>
      <c r="F43" s="50" t="inlineStr">
        <is>
          <t>LG</t>
        </is>
      </c>
      <c r="G43" s="88" t="n"/>
      <c r="H43" s="88" t="n">
        <v>114285.71</v>
      </c>
      <c r="I43" s="50" t="inlineStr">
        <is>
          <t>Token 113 - unit LG-53</t>
        </is>
      </c>
      <c r="J43" t="inlineStr">
        <is>
          <t>16-Sep</t>
        </is>
      </c>
    </row>
    <row r="44">
      <c r="A44" s="50" t="inlineStr">
        <is>
          <t>JV-0011</t>
        </is>
      </c>
      <c r="B44" s="87" t="n">
        <v>46276</v>
      </c>
      <c r="C44" s="50" t="inlineStr">
        <is>
          <t>Customer Advances:Token Money - Units</t>
        </is>
      </c>
      <c r="D44" s="50" t="n">
        <v>21100</v>
      </c>
      <c r="E44" s="50" t="inlineStr">
        <is>
          <t>Meena Gul:LG-94</t>
        </is>
      </c>
      <c r="F44" s="50" t="inlineStr">
        <is>
          <t>LG</t>
        </is>
      </c>
      <c r="G44" s="88" t="n"/>
      <c r="H44" s="88" t="n">
        <v>114285.71</v>
      </c>
      <c r="I44" s="50" t="inlineStr">
        <is>
          <t>Token 113 - unit LG-94</t>
        </is>
      </c>
      <c r="J44" t="inlineStr">
        <is>
          <t>16-Sep</t>
        </is>
      </c>
    </row>
    <row r="45">
      <c r="A45" s="50" t="inlineStr">
        <is>
          <t>JV-0011</t>
        </is>
      </c>
      <c r="B45" s="87" t="n">
        <v>46276</v>
      </c>
      <c r="C45" s="50" t="inlineStr">
        <is>
          <t>Customer Advances:Token Money - Units</t>
        </is>
      </c>
      <c r="D45" s="50" t="n">
        <v>21100</v>
      </c>
      <c r="E45" s="50" t="inlineStr">
        <is>
          <t>Meena Gul:LG-95</t>
        </is>
      </c>
      <c r="F45" s="50" t="inlineStr">
        <is>
          <t>LG</t>
        </is>
      </c>
      <c r="G45" s="88" t="n"/>
      <c r="H45" s="88" t="n">
        <v>114285.71</v>
      </c>
      <c r="I45" s="50" t="inlineStr">
        <is>
          <t>Token 113 - unit LG-95</t>
        </is>
      </c>
      <c r="J45" t="inlineStr">
        <is>
          <t>16-Sep</t>
        </is>
      </c>
    </row>
    <row r="46">
      <c r="A46" s="50" t="inlineStr">
        <is>
          <t>JV-0011</t>
        </is>
      </c>
      <c r="B46" s="87" t="n">
        <v>46276</v>
      </c>
      <c r="C46" s="50" t="inlineStr">
        <is>
          <t>Customer Advances:Token Money - Units</t>
        </is>
      </c>
      <c r="D46" s="50" t="n">
        <v>21100</v>
      </c>
      <c r="E46" s="50" t="inlineStr">
        <is>
          <t>Meena Gul:LG-96</t>
        </is>
      </c>
      <c r="F46" s="50" t="inlineStr">
        <is>
          <t>LG</t>
        </is>
      </c>
      <c r="G46" s="88" t="n"/>
      <c r="H46" s="88" t="n">
        <v>114285.71</v>
      </c>
      <c r="I46" s="50" t="inlineStr">
        <is>
          <t>Token 113 - unit LG-96</t>
        </is>
      </c>
      <c r="J46" t="inlineStr">
        <is>
          <t>16-Sep</t>
        </is>
      </c>
    </row>
    <row r="47">
      <c r="A47" s="50" t="inlineStr">
        <is>
          <t>JV-0011</t>
        </is>
      </c>
      <c r="B47" s="87" t="n">
        <v>46276</v>
      </c>
      <c r="C47" s="50" t="inlineStr">
        <is>
          <t>Customer Advances:Token Money - Units</t>
        </is>
      </c>
      <c r="D47" s="50" t="n">
        <v>21100</v>
      </c>
      <c r="E47" s="50" t="inlineStr">
        <is>
          <t>Meena Gul:GF-90</t>
        </is>
      </c>
      <c r="F47" s="50" t="inlineStr">
        <is>
          <t>GF</t>
        </is>
      </c>
      <c r="G47" s="88" t="n"/>
      <c r="H47" s="88" t="n">
        <v>114285.74</v>
      </c>
      <c r="I47" s="50" t="inlineStr">
        <is>
          <t>Token 113 - unit GF-90</t>
        </is>
      </c>
      <c r="J47" t="inlineStr">
        <is>
          <t>16-Sep</t>
        </is>
      </c>
    </row>
    <row r="48">
      <c r="A48" s="50" t="inlineStr">
        <is>
          <t>JV-0012</t>
        </is>
      </c>
      <c r="B48" s="87" t="n">
        <v>46279</v>
      </c>
      <c r="C48" s="50" t="inlineStr">
        <is>
          <t>Due to / from Group Companies:FMH - Fourteen Manzil Heights</t>
        </is>
      </c>
      <c r="D48" s="50" t="n">
        <v>22100</v>
      </c>
      <c r="E48" s="50" t="inlineStr">
        <is>
          <t>FMH</t>
        </is>
      </c>
      <c r="F48" s="50" t="inlineStr">
        <is>
          <t>Project-wide</t>
        </is>
      </c>
      <c r="G48" s="88" t="n">
        <v>100000</v>
      </c>
      <c r="H48" s="88" t="n"/>
      <c r="I48" s="50" t="inlineStr">
        <is>
          <t>Token 114 received by FMH office - Cash</t>
        </is>
      </c>
      <c r="J48" t="inlineStr">
        <is>
          <t>16-Sep</t>
        </is>
      </c>
    </row>
    <row r="49">
      <c r="A49" s="50" t="inlineStr">
        <is>
          <t>JV-0012</t>
        </is>
      </c>
      <c r="B49" s="87" t="n">
        <v>46279</v>
      </c>
      <c r="C49" s="50" t="inlineStr">
        <is>
          <t>Customer Advances:Token Money - Units</t>
        </is>
      </c>
      <c r="D49" s="50" t="n">
        <v>21100</v>
      </c>
      <c r="E49" s="50" t="inlineStr">
        <is>
          <t>Azhar Ud Din:LG-10</t>
        </is>
      </c>
      <c r="F49" s="50" t="inlineStr">
        <is>
          <t>LG</t>
        </is>
      </c>
      <c r="G49" s="88" t="n"/>
      <c r="H49" s="88" t="n">
        <v>100000</v>
      </c>
      <c r="I49" s="50" t="inlineStr">
        <is>
          <t>Token 114 - unit LG-10</t>
        </is>
      </c>
      <c r="J49" t="inlineStr">
        <is>
          <t>16-Sep</t>
        </is>
      </c>
    </row>
    <row r="50">
      <c r="A50" s="50" t="inlineStr">
        <is>
          <t>JV-0013</t>
        </is>
      </c>
      <c r="B50" s="87" t="n">
        <v>46279</v>
      </c>
      <c r="C50" s="50" t="inlineStr">
        <is>
          <t>Due to / from Group Companies:FMH - Fourteen Manzil Heights</t>
        </is>
      </c>
      <c r="D50" s="50" t="n">
        <v>22100</v>
      </c>
      <c r="E50" s="50" t="inlineStr">
        <is>
          <t>FMH</t>
        </is>
      </c>
      <c r="F50" s="50" t="inlineStr">
        <is>
          <t>Project-wide</t>
        </is>
      </c>
      <c r="G50" s="88" t="n">
        <v>200000</v>
      </c>
      <c r="H50" s="88" t="n"/>
      <c r="I50" s="50" t="inlineStr">
        <is>
          <t>Token 115 received by FMH office - Cash</t>
        </is>
      </c>
      <c r="J50" t="inlineStr">
        <is>
          <t>16-Sep</t>
        </is>
      </c>
    </row>
    <row r="51">
      <c r="A51" s="50" t="inlineStr">
        <is>
          <t>JV-0013</t>
        </is>
      </c>
      <c r="B51" s="87" t="n">
        <v>46279</v>
      </c>
      <c r="C51" s="50" t="inlineStr">
        <is>
          <t>Customer Advances:Token Money - Units</t>
        </is>
      </c>
      <c r="D51" s="50" t="n">
        <v>21100</v>
      </c>
      <c r="E51" s="50" t="inlineStr">
        <is>
          <t>Sudais:LG-55</t>
        </is>
      </c>
      <c r="F51" s="50" t="inlineStr">
        <is>
          <t>LG</t>
        </is>
      </c>
      <c r="G51" s="88" t="n"/>
      <c r="H51" s="88" t="n">
        <v>100000</v>
      </c>
      <c r="I51" s="50" t="inlineStr">
        <is>
          <t>Token 115 - unit LG-55</t>
        </is>
      </c>
      <c r="J51" t="inlineStr">
        <is>
          <t>16-Sep</t>
        </is>
      </c>
    </row>
    <row r="52">
      <c r="A52" s="50" t="inlineStr">
        <is>
          <t>JV-0013</t>
        </is>
      </c>
      <c r="B52" s="87" t="n">
        <v>46279</v>
      </c>
      <c r="C52" s="50" t="inlineStr">
        <is>
          <t>Customer Advances:Token Money - Units</t>
        </is>
      </c>
      <c r="D52" s="50" t="n">
        <v>21100</v>
      </c>
      <c r="E52" s="50" t="inlineStr">
        <is>
          <t>Shuraim:LG-98</t>
        </is>
      </c>
      <c r="F52" s="50" t="inlineStr">
        <is>
          <t>LG</t>
        </is>
      </c>
      <c r="G52" s="88" t="n"/>
      <c r="H52" s="88" t="n">
        <v>100000</v>
      </c>
      <c r="I52" s="50" t="inlineStr">
        <is>
          <t>Token 115 - unit LG-98</t>
        </is>
      </c>
      <c r="J52" t="inlineStr">
        <is>
          <t>16-Sep</t>
        </is>
      </c>
    </row>
    <row r="53">
      <c r="A53" s="50" t="inlineStr">
        <is>
          <t>JV-0014</t>
        </is>
      </c>
      <c r="B53" s="87" t="n">
        <v>46279</v>
      </c>
      <c r="C53" s="50" t="inlineStr">
        <is>
          <t>Due to / from Group Companies:FMH - Fourteen Manzil Heights</t>
        </is>
      </c>
      <c r="D53" s="50" t="n">
        <v>22100</v>
      </c>
      <c r="E53" s="50" t="inlineStr">
        <is>
          <t>FMH</t>
        </is>
      </c>
      <c r="F53" s="50" t="inlineStr">
        <is>
          <t>Project-wide</t>
        </is>
      </c>
      <c r="G53" s="88" t="n">
        <v>200000</v>
      </c>
      <c r="H53" s="88" t="n"/>
      <c r="I53" s="50" t="inlineStr">
        <is>
          <t>Token 116 received by FMH office - Cash</t>
        </is>
      </c>
      <c r="J53" t="inlineStr">
        <is>
          <t>16-Sep</t>
        </is>
      </c>
    </row>
    <row r="54">
      <c r="A54" s="50" t="inlineStr">
        <is>
          <t>JV-0014</t>
        </is>
      </c>
      <c r="B54" s="87" t="n">
        <v>46279</v>
      </c>
      <c r="C54" s="50" t="inlineStr">
        <is>
          <t>Customer Advances:Token Money - Units</t>
        </is>
      </c>
      <c r="D54" s="50" t="n">
        <v>21100</v>
      </c>
      <c r="E54" s="50" t="inlineStr">
        <is>
          <t>Salman:CB-16</t>
        </is>
      </c>
      <c r="F54" s="50" t="inlineStr">
        <is>
          <t>CB</t>
        </is>
      </c>
      <c r="G54" s="88" t="n"/>
      <c r="H54" s="88" t="n">
        <v>100000</v>
      </c>
      <c r="I54" s="50" t="inlineStr">
        <is>
          <t>Token 116 - unit CB-16</t>
        </is>
      </c>
      <c r="J54" t="inlineStr">
        <is>
          <t>16-Sep</t>
        </is>
      </c>
    </row>
    <row r="55">
      <c r="A55" s="50" t="inlineStr">
        <is>
          <t>JV-0014</t>
        </is>
      </c>
      <c r="B55" s="87" t="n">
        <v>46279</v>
      </c>
      <c r="C55" s="50" t="inlineStr">
        <is>
          <t>Customer Advances:Token Money - Units</t>
        </is>
      </c>
      <c r="D55" s="50" t="n">
        <v>21100</v>
      </c>
      <c r="E55" s="50" t="inlineStr">
        <is>
          <t>Salman:CB-45</t>
        </is>
      </c>
      <c r="F55" s="50" t="inlineStr">
        <is>
          <t>CB</t>
        </is>
      </c>
      <c r="G55" s="88" t="n"/>
      <c r="H55" s="88" t="n">
        <v>100000</v>
      </c>
      <c r="I55" s="50" t="inlineStr">
        <is>
          <t>Token 116 - unit CB-45</t>
        </is>
      </c>
      <c r="J55" t="inlineStr">
        <is>
          <t>16-Sep</t>
        </is>
      </c>
    </row>
    <row r="56">
      <c r="A56" s="50" t="inlineStr">
        <is>
          <t>JV-0015</t>
        </is>
      </c>
      <c r="B56" s="87" t="n">
        <v>46276</v>
      </c>
      <c r="C56" s="50" t="inlineStr">
        <is>
          <t>Current Assets:Due from Directors:Syed Yousaf Shah</t>
        </is>
      </c>
      <c r="D56" s="50" t="n">
        <v>12610</v>
      </c>
      <c r="E56" s="50" t="inlineStr">
        <is>
          <t>Syed Yousaf Shah</t>
        </is>
      </c>
      <c r="F56" s="50" t="inlineStr">
        <is>
          <t>Project-wide</t>
        </is>
      </c>
      <c r="G56" s="88" t="n">
        <v>2300000</v>
      </c>
      <c r="H56" s="88" t="n"/>
      <c r="I56" s="50" t="inlineStr">
        <is>
          <t>Token money handed over by FMH office</t>
        </is>
      </c>
      <c r="J56" t="inlineStr">
        <is>
          <t>16-Sep</t>
        </is>
      </c>
    </row>
    <row r="57">
      <c r="A57" s="50" t="inlineStr">
        <is>
          <t>JV-0015</t>
        </is>
      </c>
      <c r="B57" s="87" t="n">
        <v>46276</v>
      </c>
      <c r="C57" s="50" t="inlineStr">
        <is>
          <t>Due to / from Group Companies:FMH - Fourteen Manzil Heights</t>
        </is>
      </c>
      <c r="D57" s="50" t="n">
        <v>22100</v>
      </c>
      <c r="E57" s="50" t="inlineStr">
        <is>
          <t>FMH</t>
        </is>
      </c>
      <c r="F57" s="50" t="inlineStr">
        <is>
          <t>Project-wide</t>
        </is>
      </c>
      <c r="G57" s="88" t="n"/>
      <c r="H57" s="88" t="n">
        <v>2300000</v>
      </c>
      <c r="I57" s="50" t="inlineStr">
        <is>
          <t>Token money handed over to Syed Yousaf Shah</t>
        </is>
      </c>
      <c r="J57" t="inlineStr">
        <is>
          <t>16-Sep</t>
        </is>
      </c>
    </row>
    <row r="58">
      <c r="A58" s="50" t="inlineStr">
        <is>
          <t>JV-0016</t>
        </is>
      </c>
      <c r="B58" s="87" t="n">
        <v>46189</v>
      </c>
      <c r="C58" s="50" t="inlineStr">
        <is>
          <t>Due to / from Group Companies:FMH - Fourteen Manzil Heights</t>
        </is>
      </c>
      <c r="D58" s="50" t="n">
        <v>22100</v>
      </c>
      <c r="E58" s="50" t="inlineStr">
        <is>
          <t>FMH</t>
        </is>
      </c>
      <c r="F58" s="50" t="inlineStr">
        <is>
          <t>Project-wide</t>
        </is>
      </c>
      <c r="G58" s="88" t="n">
        <v>250000</v>
      </c>
      <c r="H58" s="88" t="n"/>
      <c r="I58" s="50" t="inlineStr">
        <is>
          <t>Token 101 - unit LG-03 - Abdullah</t>
        </is>
      </c>
      <c r="J58" t="inlineStr">
        <is>
          <t>16-Sep</t>
        </is>
      </c>
    </row>
    <row r="59">
      <c r="A59" s="50" t="inlineStr">
        <is>
          <t>JV-0016</t>
        </is>
      </c>
      <c r="B59" s="87" t="n">
        <v>46189</v>
      </c>
      <c r="C59" s="50" t="inlineStr">
        <is>
          <t>Customer Advances:Token Money - Units</t>
        </is>
      </c>
      <c r="D59" s="50" t="n">
        <v>21100</v>
      </c>
      <c r="E59" s="50" t="inlineStr">
        <is>
          <t>Abdullah:LG-03</t>
        </is>
      </c>
      <c r="F59" s="50" t="inlineStr">
        <is>
          <t>LG</t>
        </is>
      </c>
      <c r="G59" s="88" t="n"/>
      <c r="H59" s="88" t="n">
        <v>250000</v>
      </c>
      <c r="I59" s="50" t="inlineStr">
        <is>
          <t>Token 101 - unit LG-03 - Abdullah</t>
        </is>
      </c>
      <c r="J59" t="inlineStr">
        <is>
          <t>16-Sep</t>
        </is>
      </c>
    </row>
    <row r="60">
      <c r="A60" s="50" t="inlineStr">
        <is>
          <t>JV-0017</t>
        </is>
      </c>
      <c r="B60" s="87" t="n">
        <v>46283</v>
      </c>
      <c r="C60" s="50" t="inlineStr">
        <is>
          <t>Customer Advances:Token Money - Units</t>
        </is>
      </c>
      <c r="D60" s="50" t="n">
        <v>21100</v>
      </c>
      <c r="E60" s="50" t="inlineStr">
        <is>
          <t>Abdullah:LG-03</t>
        </is>
      </c>
      <c r="F60" s="50" t="inlineStr">
        <is>
          <t>LG</t>
        </is>
      </c>
      <c r="G60" s="88" t="n">
        <v>250000</v>
      </c>
      <c r="H60" s="88" t="n"/>
      <c r="I60" s="50" t="inlineStr">
        <is>
          <t>Token 101 returned to Abdullah - unit LG-03</t>
        </is>
      </c>
      <c r="J60" t="inlineStr">
        <is>
          <t>16-Sep</t>
        </is>
      </c>
    </row>
    <row r="61">
      <c r="A61" s="50" t="inlineStr">
        <is>
          <t>JV-0017</t>
        </is>
      </c>
      <c r="B61" s="87" t="n">
        <v>46283</v>
      </c>
      <c r="C61" s="50" t="inlineStr">
        <is>
          <t>Due to / from Group Companies:FMH - Fourteen Manzil Heights</t>
        </is>
      </c>
      <c r="D61" s="50" t="n">
        <v>22100</v>
      </c>
      <c r="E61" s="50" t="inlineStr">
        <is>
          <t>FMH</t>
        </is>
      </c>
      <c r="F61" s="50" t="inlineStr">
        <is>
          <t>Project-wide</t>
        </is>
      </c>
      <c r="G61" s="88" t="n"/>
      <c r="H61" s="88" t="n">
        <v>250000</v>
      </c>
      <c r="I61" s="50" t="inlineStr">
        <is>
          <t>Token 101 returned to Abdullah - unit LG-03</t>
        </is>
      </c>
      <c r="J61" t="inlineStr">
        <is>
          <t>16-Sep</t>
        </is>
      </c>
    </row>
    <row r="62">
      <c r="A62" s="50" t="inlineStr">
        <is>
          <t>JV-0018</t>
        </is>
      </c>
      <c r="B62" s="87" t="n">
        <v>46059</v>
      </c>
      <c r="C62" s="50" t="inlineStr">
        <is>
          <t>Cost of Sales:Land Cost:Land Purchase Cost</t>
        </is>
      </c>
      <c r="D62" s="50" t="n">
        <v>51100</v>
      </c>
      <c r="E62" s="50" t="inlineStr">
        <is>
          <t>Syed Yousaf Shah</t>
        </is>
      </c>
      <c r="F62" s="50" t="inlineStr">
        <is>
          <t>Project-wide</t>
        </is>
      </c>
      <c r="G62" s="88" t="n">
        <v>10000000</v>
      </c>
      <c r="H62" s="88" t="n"/>
      <c r="I62" s="50" t="inlineStr">
        <is>
          <t>Ch# 10318764 deposited to Yousaf saib UBL</t>
        </is>
      </c>
      <c r="J62" t="inlineStr">
        <is>
          <t>16-Sep</t>
        </is>
      </c>
    </row>
    <row r="63">
      <c r="A63" s="50" t="inlineStr">
        <is>
          <t>JV-0018</t>
        </is>
      </c>
      <c r="B63" s="87" t="n">
        <v>46059</v>
      </c>
      <c r="C63" s="50" t="inlineStr">
        <is>
          <t>Due to / from Group Companies:FMH - Fourteen Manzil Heights</t>
        </is>
      </c>
      <c r="D63" s="50" t="n">
        <v>22100</v>
      </c>
      <c r="E63" s="50" t="inlineStr">
        <is>
          <t>FMH</t>
        </is>
      </c>
      <c r="F63" s="50" t="inlineStr">
        <is>
          <t>Project-wide</t>
        </is>
      </c>
      <c r="G63" s="88" t="n"/>
      <c r="H63" s="88" t="n">
        <v>10000000</v>
      </c>
      <c r="I63" s="50" t="inlineStr">
        <is>
          <t>Paid by FMH for Awami Market - Ch# 10318764 deposited to Yousaf saib UBL</t>
        </is>
      </c>
      <c r="J63" t="inlineStr">
        <is>
          <t>16-Sep</t>
        </is>
      </c>
    </row>
    <row r="64">
      <c r="A64" s="50" t="inlineStr">
        <is>
          <t>JV-0019</t>
        </is>
      </c>
      <c r="B64" s="87" t="n">
        <v>46111</v>
      </c>
      <c r="C64" s="50" t="inlineStr">
        <is>
          <t>Cost of Sales:Land Cost:Land Purchase Cost</t>
        </is>
      </c>
      <c r="D64" s="50" t="n">
        <v>51100</v>
      </c>
      <c r="E64" s="50" t="inlineStr">
        <is>
          <t>Syed Yousaf Shah</t>
        </is>
      </c>
      <c r="F64" s="50" t="inlineStr">
        <is>
          <t>Project-wide</t>
        </is>
      </c>
      <c r="G64" s="88" t="n">
        <v>4000000</v>
      </c>
      <c r="H64" s="88" t="n"/>
      <c r="I64" s="50" t="inlineStr">
        <is>
          <t>Ch# 10323992 issued to Yousaf saib as loan return</t>
        </is>
      </c>
      <c r="J64" t="inlineStr">
        <is>
          <t>16-Sep</t>
        </is>
      </c>
    </row>
    <row r="65">
      <c r="A65" s="50" t="inlineStr">
        <is>
          <t>JV-0019</t>
        </is>
      </c>
      <c r="B65" s="87" t="n">
        <v>46111</v>
      </c>
      <c r="C65" s="50" t="inlineStr">
        <is>
          <t>Due to / from Group Companies:FMH - Fourteen Manzil Heights</t>
        </is>
      </c>
      <c r="D65" s="50" t="n">
        <v>22100</v>
      </c>
      <c r="E65" s="50" t="inlineStr">
        <is>
          <t>FMH</t>
        </is>
      </c>
      <c r="F65" s="50" t="inlineStr">
        <is>
          <t>Project-wide</t>
        </is>
      </c>
      <c r="G65" s="88" t="n"/>
      <c r="H65" s="88" t="n">
        <v>4000000</v>
      </c>
      <c r="I65" s="50" t="inlineStr">
        <is>
          <t>Paid by FMH for Awami Market - Ch# 10323992 issued to Yousaf saib as loan return</t>
        </is>
      </c>
      <c r="J65" t="inlineStr">
        <is>
          <t>16-Sep</t>
        </is>
      </c>
    </row>
    <row r="66">
      <c r="A66" s="50" t="inlineStr">
        <is>
          <t>JV-0020</t>
        </is>
      </c>
      <c r="B66" s="87" t="n">
        <v>46111</v>
      </c>
      <c r="C66" s="50" t="inlineStr">
        <is>
          <t>Cost of Sales:Land Cost:Land Purchase Cost</t>
        </is>
      </c>
      <c r="D66" s="50" t="n">
        <v>51100</v>
      </c>
      <c r="E66" s="50" t="inlineStr">
        <is>
          <t>Syed Yousaf Shah</t>
        </is>
      </c>
      <c r="F66" s="50" t="inlineStr">
        <is>
          <t>Project-wide</t>
        </is>
      </c>
      <c r="G66" s="88" t="n">
        <v>4000000</v>
      </c>
      <c r="H66" s="88" t="n"/>
      <c r="I66" s="50" t="inlineStr">
        <is>
          <t>Ch# 10323992 issued to Yousaf saib as loan return - second entry</t>
        </is>
      </c>
      <c r="J66" t="inlineStr">
        <is>
          <t>16-Sep</t>
        </is>
      </c>
    </row>
    <row r="67">
      <c r="A67" s="50" t="inlineStr">
        <is>
          <t>JV-0020</t>
        </is>
      </c>
      <c r="B67" s="87" t="n">
        <v>46111</v>
      </c>
      <c r="C67" s="50" t="inlineStr">
        <is>
          <t>Due to / from Group Companies:FMH - Fourteen Manzil Heights</t>
        </is>
      </c>
      <c r="D67" s="50" t="n">
        <v>22100</v>
      </c>
      <c r="E67" s="50" t="inlineStr">
        <is>
          <t>FMH</t>
        </is>
      </c>
      <c r="F67" s="50" t="inlineStr">
        <is>
          <t>Project-wide</t>
        </is>
      </c>
      <c r="G67" s="88" t="n"/>
      <c r="H67" s="88" t="n">
        <v>4000000</v>
      </c>
      <c r="I67" s="50" t="inlineStr">
        <is>
          <t>Paid by FMH for Awami Market - Ch# 10323992 issued to Yousaf saib as loan return - second entry</t>
        </is>
      </c>
      <c r="J67" t="inlineStr">
        <is>
          <t>16-Sep</t>
        </is>
      </c>
    </row>
    <row r="68">
      <c r="A68" s="50" t="inlineStr">
        <is>
          <t>JV-0021</t>
        </is>
      </c>
      <c r="B68" s="87" t="n">
        <v>46129</v>
      </c>
      <c r="C68" s="50" t="inlineStr">
        <is>
          <t>Administrative Expenses:Printing &amp; Stationery</t>
        </is>
      </c>
      <c r="D68" s="50" t="n">
        <v>70500</v>
      </c>
      <c r="E68" s="50" t="inlineStr">
        <is>
          <t>Kashif</t>
        </is>
      </c>
      <c r="F68" s="50" t="inlineStr">
        <is>
          <t>Project-wide</t>
        </is>
      </c>
      <c r="G68" s="88" t="n">
        <v>15000</v>
      </c>
      <c r="H68" s="88" t="n"/>
      <c r="I68" s="50" t="inlineStr">
        <is>
          <t>Paid to Kashif as stamp navi</t>
        </is>
      </c>
      <c r="J68" t="inlineStr">
        <is>
          <t>16-Sep</t>
        </is>
      </c>
    </row>
    <row r="69">
      <c r="A69" s="50" t="inlineStr">
        <is>
          <t>JV-0021</t>
        </is>
      </c>
      <c r="B69" s="87" t="n">
        <v>46129</v>
      </c>
      <c r="C69" s="50" t="inlineStr">
        <is>
          <t>Due to / from Group Companies:FMH - Fourteen Manzil Heights</t>
        </is>
      </c>
      <c r="D69" s="50" t="n">
        <v>22100</v>
      </c>
      <c r="E69" s="50" t="inlineStr">
        <is>
          <t>FMH</t>
        </is>
      </c>
      <c r="F69" s="50" t="inlineStr">
        <is>
          <t>Project-wide</t>
        </is>
      </c>
      <c r="G69" s="88" t="n"/>
      <c r="H69" s="88" t="n">
        <v>15000</v>
      </c>
      <c r="I69" s="50" t="inlineStr">
        <is>
          <t>Paid by FMH for Awami Market - Paid to Kashif as stamp navi</t>
        </is>
      </c>
      <c r="J69" t="inlineStr">
        <is>
          <t>16-Sep</t>
        </is>
      </c>
    </row>
    <row r="70">
      <c r="A70" s="50" t="inlineStr">
        <is>
          <t>JV-0022</t>
        </is>
      </c>
      <c r="B70" s="87" t="n">
        <v>46132</v>
      </c>
      <c r="C70" s="50" t="inlineStr">
        <is>
          <t>Marketing &amp; Sales Expenses:Marketing Printing &amp; Material</t>
        </is>
      </c>
      <c r="D70" s="50" t="n">
        <v>60300</v>
      </c>
      <c r="E70" s="50" t="inlineStr">
        <is>
          <t>Waqar Easypaisa</t>
        </is>
      </c>
      <c r="F70" s="50" t="inlineStr">
        <is>
          <t>Project-wide</t>
        </is>
      </c>
      <c r="G70" s="88" t="n">
        <v>10000</v>
      </c>
      <c r="H70" s="88" t="n"/>
      <c r="I70" s="50" t="inlineStr">
        <is>
          <t>Paid to Waqar easypaisa for project MAP</t>
        </is>
      </c>
      <c r="J70" t="inlineStr">
        <is>
          <t>16-Sep</t>
        </is>
      </c>
    </row>
    <row r="71">
      <c r="A71" s="50" t="inlineStr">
        <is>
          <t>JV-0022</t>
        </is>
      </c>
      <c r="B71" s="87" t="n">
        <v>46132</v>
      </c>
      <c r="C71" s="50" t="inlineStr">
        <is>
          <t>Due to / from Group Companies:FMH - Fourteen Manzil Heights</t>
        </is>
      </c>
      <c r="D71" s="50" t="n">
        <v>22100</v>
      </c>
      <c r="E71" s="50" t="inlineStr">
        <is>
          <t>FMH</t>
        </is>
      </c>
      <c r="F71" s="50" t="inlineStr">
        <is>
          <t>Project-wide</t>
        </is>
      </c>
      <c r="G71" s="88" t="n"/>
      <c r="H71" s="88" t="n">
        <v>10000</v>
      </c>
      <c r="I71" s="50" t="inlineStr">
        <is>
          <t>Paid by FMH for Awami Market - Paid to Waqar easypaisa for project MAP</t>
        </is>
      </c>
      <c r="J71" t="inlineStr">
        <is>
          <t>16-Sep</t>
        </is>
      </c>
    </row>
    <row r="72">
      <c r="A72" s="50" t="inlineStr">
        <is>
          <t>JV-0023</t>
        </is>
      </c>
      <c r="B72" s="87" t="n">
        <v>46133</v>
      </c>
      <c r="C72" s="50" t="inlineStr">
        <is>
          <t>Cost of Sales:Project Development Cost:Architecture, Design &amp; Drawings</t>
        </is>
      </c>
      <c r="D72" s="50" t="n">
        <v>53100</v>
      </c>
      <c r="E72" s="50" t="inlineStr">
        <is>
          <t>Shah Khalid</t>
        </is>
      </c>
      <c r="F72" s="50" t="inlineStr">
        <is>
          <t>Project-wide</t>
        </is>
      </c>
      <c r="G72" s="88" t="n">
        <v>500000</v>
      </c>
      <c r="H72" s="88" t="n"/>
      <c r="I72" s="50" t="inlineStr">
        <is>
          <t>Paid to Shah Khalid online by Naeem saib</t>
        </is>
      </c>
      <c r="J72" t="inlineStr">
        <is>
          <t>16-Sep</t>
        </is>
      </c>
    </row>
    <row r="73">
      <c r="A73" s="50" t="inlineStr">
        <is>
          <t>JV-0023</t>
        </is>
      </c>
      <c r="B73" s="87" t="n">
        <v>46133</v>
      </c>
      <c r="C73" s="50" t="inlineStr">
        <is>
          <t>Due to / from Group Companies:FMH - Fourteen Manzil Heights</t>
        </is>
      </c>
      <c r="D73" s="50" t="n">
        <v>22100</v>
      </c>
      <c r="E73" s="50" t="inlineStr">
        <is>
          <t>FMH</t>
        </is>
      </c>
      <c r="F73" s="50" t="inlineStr">
        <is>
          <t>Project-wide</t>
        </is>
      </c>
      <c r="G73" s="88" t="n"/>
      <c r="H73" s="88" t="n">
        <v>500000</v>
      </c>
      <c r="I73" s="50" t="inlineStr">
        <is>
          <t>Paid by FMH for Awami Market - Paid to Shah Khalid online by Naeem saib</t>
        </is>
      </c>
      <c r="J73" t="inlineStr">
        <is>
          <t>16-Sep</t>
        </is>
      </c>
    </row>
    <row r="74">
      <c r="A74" s="50" t="inlineStr">
        <is>
          <t>JV-0024</t>
        </is>
      </c>
      <c r="B74" s="87" t="n">
        <v>46135</v>
      </c>
      <c r="C74" s="50" t="inlineStr">
        <is>
          <t>Cost of Sales:Project Development Cost:Soil Testing &amp; Survey</t>
        </is>
      </c>
      <c r="D74" s="50" t="n">
        <v>53200</v>
      </c>
      <c r="E74" s="50" t="inlineStr">
        <is>
          <t>Alam</t>
        </is>
      </c>
      <c r="F74" s="50" t="inlineStr">
        <is>
          <t>Project-wide</t>
        </is>
      </c>
      <c r="G74" s="88" t="n">
        <v>100000</v>
      </c>
      <c r="H74" s="88" t="n"/>
      <c r="I74" s="50" t="inlineStr">
        <is>
          <t>Ch# 10324016 issued to Alam c/o Dr Irshad</t>
        </is>
      </c>
      <c r="J74" t="inlineStr">
        <is>
          <t>16-Sep</t>
        </is>
      </c>
    </row>
    <row r="75">
      <c r="A75" s="50" t="inlineStr">
        <is>
          <t>JV-0024</t>
        </is>
      </c>
      <c r="B75" s="87" t="n">
        <v>46135</v>
      </c>
      <c r="C75" s="50" t="inlineStr">
        <is>
          <t>Due to / from Group Companies:FMH - Fourteen Manzil Heights</t>
        </is>
      </c>
      <c r="D75" s="50" t="n">
        <v>22100</v>
      </c>
      <c r="E75" s="50" t="inlineStr">
        <is>
          <t>FMH</t>
        </is>
      </c>
      <c r="F75" s="50" t="inlineStr">
        <is>
          <t>Project-wide</t>
        </is>
      </c>
      <c r="G75" s="88" t="n"/>
      <c r="H75" s="88" t="n">
        <v>100000</v>
      </c>
      <c r="I75" s="50" t="inlineStr">
        <is>
          <t>Paid by FMH for Awami Market - Ch# 10324016 issued to Alam c/o Dr Irshad</t>
        </is>
      </c>
      <c r="J75" t="inlineStr">
        <is>
          <t>16-Sep</t>
        </is>
      </c>
    </row>
    <row r="76">
      <c r="A76" s="50" t="inlineStr">
        <is>
          <t>JV-0025</t>
        </is>
      </c>
      <c r="B76" s="87" t="n">
        <v>46136</v>
      </c>
      <c r="C76" s="50" t="inlineStr">
        <is>
          <t>Fixed Assets:Computer &amp; IT Equipment</t>
        </is>
      </c>
      <c r="D76" s="50" t="n">
        <v>15300</v>
      </c>
      <c r="E76" s="50" t="inlineStr">
        <is>
          <t>Rashid</t>
        </is>
      </c>
      <c r="F76" s="50" t="inlineStr">
        <is>
          <t>Project-wide</t>
        </is>
      </c>
      <c r="G76" s="88" t="n">
        <v>95000</v>
      </c>
      <c r="H76" s="88" t="n"/>
      <c r="I76" s="50" t="inlineStr">
        <is>
          <t>Paid for laptop c/o Rashid</t>
        </is>
      </c>
      <c r="J76" t="inlineStr">
        <is>
          <t>15-Sep</t>
        </is>
      </c>
    </row>
    <row r="77">
      <c r="A77" s="50" t="inlineStr">
        <is>
          <t>JV-0025</t>
        </is>
      </c>
      <c r="B77" s="87" t="n">
        <v>46136</v>
      </c>
      <c r="C77" s="50" t="inlineStr">
        <is>
          <t>Due to / from Group Companies:FMH - Fourteen Manzil Heights</t>
        </is>
      </c>
      <c r="D77" s="50" t="n">
        <v>22100</v>
      </c>
      <c r="E77" s="50" t="inlineStr">
        <is>
          <t>FMH</t>
        </is>
      </c>
      <c r="F77" s="50" t="inlineStr">
        <is>
          <t>Project-wide</t>
        </is>
      </c>
      <c r="G77" s="88" t="n"/>
      <c r="H77" s="88" t="n">
        <v>95000</v>
      </c>
      <c r="I77" s="50" t="inlineStr">
        <is>
          <t>Paid by FMH for Awami Market - Paid for laptop c/o Rashid</t>
        </is>
      </c>
      <c r="J77" t="inlineStr">
        <is>
          <t>15-Sep</t>
        </is>
      </c>
    </row>
    <row r="78">
      <c r="A78" s="50" t="inlineStr">
        <is>
          <t>JV-0026</t>
        </is>
      </c>
      <c r="B78" s="87" t="n">
        <v>46139</v>
      </c>
      <c r="C78" s="50" t="inlineStr">
        <is>
          <t>Fixed Assets:Computer &amp; IT Equipment</t>
        </is>
      </c>
      <c r="D78" s="50" t="n">
        <v>15300</v>
      </c>
      <c r="E78" s="50" t="n"/>
      <c r="F78" s="50" t="inlineStr">
        <is>
          <t>Project-wide</t>
        </is>
      </c>
      <c r="G78" s="88" t="n">
        <v>35000</v>
      </c>
      <c r="H78" s="88" t="n"/>
      <c r="I78" s="50" t="inlineStr">
        <is>
          <t>Paid for Kharkhano map laptop</t>
        </is>
      </c>
      <c r="J78" t="inlineStr">
        <is>
          <t>16-Sep</t>
        </is>
      </c>
    </row>
    <row r="79">
      <c r="A79" s="50" t="inlineStr">
        <is>
          <t>JV-0026</t>
        </is>
      </c>
      <c r="B79" s="87" t="n">
        <v>46139</v>
      </c>
      <c r="C79" s="50" t="inlineStr">
        <is>
          <t>Due to / from Group Companies:FMH - Fourteen Manzil Heights</t>
        </is>
      </c>
      <c r="D79" s="50" t="n">
        <v>22100</v>
      </c>
      <c r="E79" s="50" t="inlineStr">
        <is>
          <t>FMH</t>
        </is>
      </c>
      <c r="F79" s="50" t="inlineStr">
        <is>
          <t>Project-wide</t>
        </is>
      </c>
      <c r="G79" s="88" t="n"/>
      <c r="H79" s="88" t="n">
        <v>35000</v>
      </c>
      <c r="I79" s="50" t="inlineStr">
        <is>
          <t>Paid by FMH for Awami Market - Paid for Kharkhano map laptop</t>
        </is>
      </c>
      <c r="J79" t="inlineStr">
        <is>
          <t>16-Sep</t>
        </is>
      </c>
    </row>
    <row r="80">
      <c r="A80" s="50" t="inlineStr">
        <is>
          <t>JV-0027</t>
        </is>
      </c>
      <c r="B80" s="87" t="n">
        <v>46142</v>
      </c>
      <c r="C80" s="50" t="inlineStr">
        <is>
          <t>Cost of Sales:Project Development Cost:Regulatory &amp; Facilitation</t>
        </is>
      </c>
      <c r="D80" s="50" t="n">
        <v>53500</v>
      </c>
      <c r="E80" s="50" t="inlineStr">
        <is>
          <t>Noor Zaman TMA</t>
        </is>
      </c>
      <c r="F80" s="50" t="inlineStr">
        <is>
          <t>Project-wide</t>
        </is>
      </c>
      <c r="G80" s="88" t="n">
        <v>100000</v>
      </c>
      <c r="H80" s="88" t="n"/>
      <c r="I80" s="50" t="inlineStr">
        <is>
          <t>Paid to Noor Zaman TMA b/o Yousaf saib</t>
        </is>
      </c>
      <c r="J80" t="inlineStr">
        <is>
          <t>16-Sep</t>
        </is>
      </c>
    </row>
    <row r="81">
      <c r="A81" s="50" t="inlineStr">
        <is>
          <t>JV-0027</t>
        </is>
      </c>
      <c r="B81" s="87" t="n">
        <v>46142</v>
      </c>
      <c r="C81" s="50" t="inlineStr">
        <is>
          <t>Due to / from Group Companies:FMH - Fourteen Manzil Heights</t>
        </is>
      </c>
      <c r="D81" s="50" t="n">
        <v>22100</v>
      </c>
      <c r="E81" s="50" t="inlineStr">
        <is>
          <t>FMH</t>
        </is>
      </c>
      <c r="F81" s="50" t="inlineStr">
        <is>
          <t>Project-wide</t>
        </is>
      </c>
      <c r="G81" s="88" t="n"/>
      <c r="H81" s="88" t="n">
        <v>100000</v>
      </c>
      <c r="I81" s="50" t="inlineStr">
        <is>
          <t>Paid by FMH for Awami Market - Paid to Noor Zaman TMA b/o Yousaf saib</t>
        </is>
      </c>
      <c r="J81" t="inlineStr">
        <is>
          <t>16-Sep</t>
        </is>
      </c>
    </row>
    <row r="82">
      <c r="A82" s="50" t="inlineStr">
        <is>
          <t>JV-0028</t>
        </is>
      </c>
      <c r="B82" s="87" t="n">
        <v>46146</v>
      </c>
      <c r="C82" s="50" t="inlineStr">
        <is>
          <t>Cost of Sales:Project Development Cost:Soil Testing &amp; Survey</t>
        </is>
      </c>
      <c r="D82" s="50" t="n">
        <v>53200</v>
      </c>
      <c r="E82" s="50" t="inlineStr">
        <is>
          <t>Alam</t>
        </is>
      </c>
      <c r="F82" s="50" t="inlineStr">
        <is>
          <t>Project-wide</t>
        </is>
      </c>
      <c r="G82" s="88" t="n">
        <v>100000</v>
      </c>
      <c r="H82" s="88" t="n"/>
      <c r="I82" s="50" t="inlineStr">
        <is>
          <t>Paid to Alam c/o Dr Irshad</t>
        </is>
      </c>
      <c r="J82" t="inlineStr">
        <is>
          <t>16-Sep</t>
        </is>
      </c>
    </row>
    <row r="83">
      <c r="A83" s="50" t="inlineStr">
        <is>
          <t>JV-0028</t>
        </is>
      </c>
      <c r="B83" s="87" t="n">
        <v>46146</v>
      </c>
      <c r="C83" s="50" t="inlineStr">
        <is>
          <t>Due to / from Group Companies:FMH - Fourteen Manzil Heights</t>
        </is>
      </c>
      <c r="D83" s="50" t="n">
        <v>22100</v>
      </c>
      <c r="E83" s="50" t="inlineStr">
        <is>
          <t>FMH</t>
        </is>
      </c>
      <c r="F83" s="50" t="inlineStr">
        <is>
          <t>Project-wide</t>
        </is>
      </c>
      <c r="G83" s="88" t="n"/>
      <c r="H83" s="88" t="n">
        <v>100000</v>
      </c>
      <c r="I83" s="50" t="inlineStr">
        <is>
          <t>Paid by FMH for Awami Market - Paid to Alam c/o Dr Irshad</t>
        </is>
      </c>
      <c r="J83" t="inlineStr">
        <is>
          <t>16-Sep</t>
        </is>
      </c>
    </row>
    <row r="84">
      <c r="A84" s="50" t="inlineStr">
        <is>
          <t>JV-0029</t>
        </is>
      </c>
      <c r="B84" s="87" t="n">
        <v>46147</v>
      </c>
      <c r="C84" s="50" t="inlineStr">
        <is>
          <t>Administrative Expenses:Salaries &amp; Wages</t>
        </is>
      </c>
      <c r="D84" s="50" t="n">
        <v>70100</v>
      </c>
      <c r="E84" s="50" t="inlineStr">
        <is>
          <t>Rashid</t>
        </is>
      </c>
      <c r="F84" s="50" t="inlineStr">
        <is>
          <t>Project-wide</t>
        </is>
      </c>
      <c r="G84" s="88" t="n">
        <v>50000</v>
      </c>
      <c r="H84" s="88" t="n"/>
      <c r="I84" s="50" t="inlineStr">
        <is>
          <t>Paid to Rashid as salary April 2026</t>
        </is>
      </c>
      <c r="J84" t="inlineStr">
        <is>
          <t>15-Sep</t>
        </is>
      </c>
    </row>
    <row r="85">
      <c r="A85" s="50" t="inlineStr">
        <is>
          <t>JV-0029</t>
        </is>
      </c>
      <c r="B85" s="87" t="n">
        <v>46147</v>
      </c>
      <c r="C85" s="50" t="inlineStr">
        <is>
          <t>Due to / from Group Companies:FMH - Fourteen Manzil Heights</t>
        </is>
      </c>
      <c r="D85" s="50" t="n">
        <v>22100</v>
      </c>
      <c r="E85" s="50" t="inlineStr">
        <is>
          <t>FMH</t>
        </is>
      </c>
      <c r="F85" s="50" t="inlineStr">
        <is>
          <t>Project-wide</t>
        </is>
      </c>
      <c r="G85" s="88" t="n"/>
      <c r="H85" s="88" t="n">
        <v>50000</v>
      </c>
      <c r="I85" s="50" t="inlineStr">
        <is>
          <t>Paid by FMH for Awami Market - Paid to Rashid as salary April 2026</t>
        </is>
      </c>
      <c r="J85" t="inlineStr">
        <is>
          <t>15-Sep</t>
        </is>
      </c>
    </row>
    <row r="86">
      <c r="A86" s="50" t="inlineStr">
        <is>
          <t>JV-0030</t>
        </is>
      </c>
      <c r="B86" s="87" t="n">
        <v>46178</v>
      </c>
      <c r="C86" s="50" t="inlineStr">
        <is>
          <t>Other Assets:Software &amp; Licences</t>
        </is>
      </c>
      <c r="D86" s="50" t="n">
        <v>16100</v>
      </c>
      <c r="E86" s="50" t="inlineStr">
        <is>
          <t>Rashid</t>
        </is>
      </c>
      <c r="F86" s="50" t="inlineStr">
        <is>
          <t>Project-wide</t>
        </is>
      </c>
      <c r="G86" s="88" t="n">
        <v>100000</v>
      </c>
      <c r="H86" s="88" t="n"/>
      <c r="I86" s="50" t="inlineStr">
        <is>
          <t>Paid to Rashid for QuickBooks</t>
        </is>
      </c>
      <c r="J86" t="inlineStr">
        <is>
          <t>15-Sep</t>
        </is>
      </c>
    </row>
    <row r="87">
      <c r="A87" s="50" t="inlineStr">
        <is>
          <t>JV-0030</t>
        </is>
      </c>
      <c r="B87" s="87" t="n">
        <v>46178</v>
      </c>
      <c r="C87" s="50" t="inlineStr">
        <is>
          <t>Due to / from Group Companies:FMH - Fourteen Manzil Heights</t>
        </is>
      </c>
      <c r="D87" s="50" t="n">
        <v>22100</v>
      </c>
      <c r="E87" s="50" t="inlineStr">
        <is>
          <t>FMH</t>
        </is>
      </c>
      <c r="F87" s="50" t="inlineStr">
        <is>
          <t>Project-wide</t>
        </is>
      </c>
      <c r="G87" s="88" t="n"/>
      <c r="H87" s="88" t="n">
        <v>100000</v>
      </c>
      <c r="I87" s="50" t="inlineStr">
        <is>
          <t>Paid by FMH for Awami Market - Paid to Rashid for QuickBooks</t>
        </is>
      </c>
      <c r="J87" t="inlineStr">
        <is>
          <t>15-Sep</t>
        </is>
      </c>
    </row>
    <row r="88">
      <c r="A88" s="50" t="inlineStr">
        <is>
          <t>JV-0031</t>
        </is>
      </c>
      <c r="B88" s="87" t="n">
        <v>46163</v>
      </c>
      <c r="C88" s="50" t="inlineStr">
        <is>
          <t>Administrative Expenses:Printing &amp; Stationery</t>
        </is>
      </c>
      <c r="D88" s="50" t="n">
        <v>70500</v>
      </c>
      <c r="E88" s="50" t="inlineStr">
        <is>
          <t>RX Printings</t>
        </is>
      </c>
      <c r="F88" s="50" t="inlineStr">
        <is>
          <t>Project-wide</t>
        </is>
      </c>
      <c r="G88" s="88" t="n">
        <v>20000</v>
      </c>
      <c r="H88" s="88" t="n"/>
      <c r="I88" s="50" t="inlineStr">
        <is>
          <t>Paid to RX Printings, receipts etc</t>
        </is>
      </c>
      <c r="J88" t="inlineStr">
        <is>
          <t>16-Sep</t>
        </is>
      </c>
    </row>
    <row r="89">
      <c r="A89" s="50" t="inlineStr">
        <is>
          <t>JV-0031</t>
        </is>
      </c>
      <c r="B89" s="87" t="n">
        <v>46163</v>
      </c>
      <c r="C89" s="50" t="inlineStr">
        <is>
          <t>Due to / from Group Companies:FMH - Fourteen Manzil Heights</t>
        </is>
      </c>
      <c r="D89" s="50" t="n">
        <v>22100</v>
      </c>
      <c r="E89" s="50" t="inlineStr">
        <is>
          <t>FMH</t>
        </is>
      </c>
      <c r="F89" s="50" t="inlineStr">
        <is>
          <t>Project-wide</t>
        </is>
      </c>
      <c r="G89" s="88" t="n"/>
      <c r="H89" s="88" t="n">
        <v>20000</v>
      </c>
      <c r="I89" s="50" t="inlineStr">
        <is>
          <t>Paid by FMH for Awami Market - Paid to RX Printings, receipts etc</t>
        </is>
      </c>
      <c r="J89" t="inlineStr">
        <is>
          <t>16-Sep</t>
        </is>
      </c>
    </row>
    <row r="90">
      <c r="A90" s="50" t="inlineStr">
        <is>
          <t>JV-0032</t>
        </is>
      </c>
      <c r="B90" s="87" t="n">
        <v>46175</v>
      </c>
      <c r="C90" s="50" t="inlineStr">
        <is>
          <t>Other Assets:Software &amp; Licences</t>
        </is>
      </c>
      <c r="D90" s="50" t="n">
        <v>16100</v>
      </c>
      <c r="E90" s="50" t="inlineStr">
        <is>
          <t>Rashid</t>
        </is>
      </c>
      <c r="F90" s="50" t="inlineStr">
        <is>
          <t>Project-wide</t>
        </is>
      </c>
      <c r="G90" s="88" t="n">
        <v>80000</v>
      </c>
      <c r="H90" s="88" t="n"/>
      <c r="I90" s="50" t="inlineStr">
        <is>
          <t>Paid to Rashid saib for QuickBooks software</t>
        </is>
      </c>
      <c r="J90" t="inlineStr">
        <is>
          <t>15-Sep</t>
        </is>
      </c>
    </row>
    <row r="91">
      <c r="A91" s="50" t="inlineStr">
        <is>
          <t>JV-0032</t>
        </is>
      </c>
      <c r="B91" s="87" t="n">
        <v>46175</v>
      </c>
      <c r="C91" s="50" t="inlineStr">
        <is>
          <t>Due to / from Group Companies:FMH - Fourteen Manzil Heights</t>
        </is>
      </c>
      <c r="D91" s="50" t="n">
        <v>22100</v>
      </c>
      <c r="E91" s="50" t="inlineStr">
        <is>
          <t>FMH</t>
        </is>
      </c>
      <c r="F91" s="50" t="inlineStr">
        <is>
          <t>Project-wide</t>
        </is>
      </c>
      <c r="G91" s="88" t="n"/>
      <c r="H91" s="88" t="n">
        <v>80000</v>
      </c>
      <c r="I91" s="50" t="inlineStr">
        <is>
          <t>Paid by FMH for Awami Market - Paid to Rashid saib for QuickBooks software</t>
        </is>
      </c>
      <c r="J91" t="inlineStr">
        <is>
          <t>15-Sep</t>
        </is>
      </c>
    </row>
    <row r="92">
      <c r="A92" s="50" t="inlineStr">
        <is>
          <t>JV-0033</t>
        </is>
      </c>
      <c r="B92" s="87" t="n">
        <v>46178</v>
      </c>
      <c r="C92" s="50" t="inlineStr">
        <is>
          <t>Administrative Expenses:Printing &amp; Stationery</t>
        </is>
      </c>
      <c r="D92" s="50" t="n">
        <v>70500</v>
      </c>
      <c r="E92" s="50" t="n"/>
      <c r="F92" s="50" t="inlineStr">
        <is>
          <t>Project-wide</t>
        </is>
      </c>
      <c r="G92" s="88" t="n">
        <v>45000</v>
      </c>
      <c r="H92" s="88" t="n"/>
      <c r="I92" s="50" t="inlineStr">
        <is>
          <t>Paid for receipt books CRV CPV and tokens, Awami mobile</t>
        </is>
      </c>
      <c r="J92" t="inlineStr">
        <is>
          <t>16-Sep</t>
        </is>
      </c>
    </row>
    <row r="93">
      <c r="A93" s="50" t="inlineStr">
        <is>
          <t>JV-0033</t>
        </is>
      </c>
      <c r="B93" s="87" t="n">
        <v>46178</v>
      </c>
      <c r="C93" s="50" t="inlineStr">
        <is>
          <t>Due to / from Group Companies:FMH - Fourteen Manzil Heights</t>
        </is>
      </c>
      <c r="D93" s="50" t="n">
        <v>22100</v>
      </c>
      <c r="E93" s="50" t="inlineStr">
        <is>
          <t>FMH</t>
        </is>
      </c>
      <c r="F93" s="50" t="inlineStr">
        <is>
          <t>Project-wide</t>
        </is>
      </c>
      <c r="G93" s="88" t="n"/>
      <c r="H93" s="88" t="n">
        <v>45000</v>
      </c>
      <c r="I93" s="50" t="inlineStr">
        <is>
          <t>Paid by FMH for Awami Market - Paid for receipt books CRV CPV and tokens, Awami mobile</t>
        </is>
      </c>
      <c r="J93" t="inlineStr">
        <is>
          <t>16-Sep</t>
        </is>
      </c>
    </row>
    <row r="94">
      <c r="A94" s="50" t="inlineStr">
        <is>
          <t>JV-0034</t>
        </is>
      </c>
      <c r="B94" s="87" t="n">
        <v>46181</v>
      </c>
      <c r="C94" s="50" t="inlineStr">
        <is>
          <t>Cost of Sales:Project Development Cost:Government &amp; Regulatory Fees</t>
        </is>
      </c>
      <c r="D94" s="50" t="n">
        <v>53400</v>
      </c>
      <c r="E94" s="50" t="inlineStr">
        <is>
          <t>PRF</t>
        </is>
      </c>
      <c r="F94" s="50" t="inlineStr">
        <is>
          <t>Project-wide</t>
        </is>
      </c>
      <c r="G94" s="88" t="n">
        <v>850000</v>
      </c>
      <c r="H94" s="88" t="n"/>
      <c r="I94" s="50" t="inlineStr">
        <is>
          <t>Ch# 10324046 issued to PRF</t>
        </is>
      </c>
      <c r="J94" t="inlineStr">
        <is>
          <t>16-Sep</t>
        </is>
      </c>
    </row>
    <row r="95">
      <c r="A95" s="50" t="inlineStr">
        <is>
          <t>JV-0034</t>
        </is>
      </c>
      <c r="B95" s="87" t="n">
        <v>46181</v>
      </c>
      <c r="C95" s="50" t="inlineStr">
        <is>
          <t>Due to / from Group Companies:FMH - Fourteen Manzil Heights</t>
        </is>
      </c>
      <c r="D95" s="50" t="n">
        <v>22100</v>
      </c>
      <c r="E95" s="50" t="inlineStr">
        <is>
          <t>FMH</t>
        </is>
      </c>
      <c r="F95" s="50" t="inlineStr">
        <is>
          <t>Project-wide</t>
        </is>
      </c>
      <c r="G95" s="88" t="n"/>
      <c r="H95" s="88" t="n">
        <v>850000</v>
      </c>
      <c r="I95" s="50" t="inlineStr">
        <is>
          <t>Paid by FMH for Awami Market - Ch# 10324046 issued to PRF</t>
        </is>
      </c>
      <c r="J95" t="inlineStr">
        <is>
          <t>16-Sep</t>
        </is>
      </c>
    </row>
    <row r="96">
      <c r="A96" s="50" t="inlineStr">
        <is>
          <t>JV-0035</t>
        </is>
      </c>
      <c r="B96" s="87" t="n">
        <v>46182</v>
      </c>
      <c r="C96" s="50" t="inlineStr">
        <is>
          <t>Cost of Sales:Project Development Cost:Soil Testing &amp; Survey</t>
        </is>
      </c>
      <c r="D96" s="50" t="n">
        <v>53200</v>
      </c>
      <c r="E96" s="50" t="inlineStr">
        <is>
          <t>Eng Hamza</t>
        </is>
      </c>
      <c r="F96" s="50" t="inlineStr">
        <is>
          <t>Project-wide</t>
        </is>
      </c>
      <c r="G96" s="88" t="n">
        <v>100000</v>
      </c>
      <c r="H96" s="88" t="n"/>
      <c r="I96" s="50" t="inlineStr">
        <is>
          <t>Ch# 10324047 issued for soil testing by Eng Hamza</t>
        </is>
      </c>
      <c r="J96" t="inlineStr">
        <is>
          <t>16-Sep</t>
        </is>
      </c>
    </row>
    <row r="97">
      <c r="A97" s="50" t="inlineStr">
        <is>
          <t>JV-0035</t>
        </is>
      </c>
      <c r="B97" s="87" t="n">
        <v>46182</v>
      </c>
      <c r="C97" s="50" t="inlineStr">
        <is>
          <t>Due to / from Group Companies:FMH - Fourteen Manzil Heights</t>
        </is>
      </c>
      <c r="D97" s="50" t="n">
        <v>22100</v>
      </c>
      <c r="E97" s="50" t="inlineStr">
        <is>
          <t>FMH</t>
        </is>
      </c>
      <c r="F97" s="50" t="inlineStr">
        <is>
          <t>Project-wide</t>
        </is>
      </c>
      <c r="G97" s="88" t="n"/>
      <c r="H97" s="88" t="n">
        <v>100000</v>
      </c>
      <c r="I97" s="50" t="inlineStr">
        <is>
          <t>Paid by FMH for Awami Market - Ch# 10324047 issued for soil testing by Eng Hamza</t>
        </is>
      </c>
      <c r="J97" t="inlineStr">
        <is>
          <t>16-Sep</t>
        </is>
      </c>
    </row>
    <row r="98">
      <c r="A98" s="50" t="inlineStr">
        <is>
          <t>JV-0036</t>
        </is>
      </c>
      <c r="B98" s="87" t="n">
        <v>46182</v>
      </c>
      <c r="C98" s="50" t="inlineStr">
        <is>
          <t>Cost of Sales:Project Development Cost:Government &amp; Regulatory Fees</t>
        </is>
      </c>
      <c r="D98" s="50" t="n">
        <v>53400</v>
      </c>
      <c r="E98" s="50" t="inlineStr">
        <is>
          <t>KPRA</t>
        </is>
      </c>
      <c r="F98" s="50" t="inlineStr">
        <is>
          <t>Project-wide</t>
        </is>
      </c>
      <c r="G98" s="88" t="n">
        <v>350000</v>
      </c>
      <c r="H98" s="88" t="n"/>
      <c r="I98" s="50" t="inlineStr">
        <is>
          <t>Ch# 10324048 issued for KPRA payment by Yousaf saib</t>
        </is>
      </c>
      <c r="J98" t="inlineStr">
        <is>
          <t>16-Sep</t>
        </is>
      </c>
    </row>
    <row r="99">
      <c r="A99" s="50" t="inlineStr">
        <is>
          <t>JV-0036</t>
        </is>
      </c>
      <c r="B99" s="87" t="n">
        <v>46182</v>
      </c>
      <c r="C99" s="50" t="inlineStr">
        <is>
          <t>Due to / from Group Companies:FMH - Fourteen Manzil Heights</t>
        </is>
      </c>
      <c r="D99" s="50" t="n">
        <v>22100</v>
      </c>
      <c r="E99" s="50" t="inlineStr">
        <is>
          <t>FMH</t>
        </is>
      </c>
      <c r="F99" s="50" t="inlineStr">
        <is>
          <t>Project-wide</t>
        </is>
      </c>
      <c r="G99" s="88" t="n"/>
      <c r="H99" s="88" t="n">
        <v>350000</v>
      </c>
      <c r="I99" s="50" t="inlineStr">
        <is>
          <t>Paid by FMH for Awami Market - Ch# 10324048 issued for KPRA payment by Yousaf saib</t>
        </is>
      </c>
      <c r="J99" t="inlineStr">
        <is>
          <t>16-Sep</t>
        </is>
      </c>
    </row>
    <row r="100">
      <c r="A100" s="50" t="inlineStr">
        <is>
          <t>JV-0037</t>
        </is>
      </c>
      <c r="B100" s="87" t="n">
        <v>46184</v>
      </c>
      <c r="C100" s="50" t="inlineStr">
        <is>
          <t>Cost of Sales:Project Development Cost:Regulatory &amp; Facilitation</t>
        </is>
      </c>
      <c r="D100" s="50" t="n">
        <v>53500</v>
      </c>
      <c r="E100" s="50" t="inlineStr">
        <is>
          <t>PDA</t>
        </is>
      </c>
      <c r="F100" s="50" t="inlineStr">
        <is>
          <t>Project-wide</t>
        </is>
      </c>
      <c r="G100" s="88" t="n">
        <v>375000</v>
      </c>
      <c r="H100" s="88" t="n"/>
      <c r="I100" s="50" t="inlineStr">
        <is>
          <t>Ch# 10324043 issued to PDA</t>
        </is>
      </c>
      <c r="J100" t="inlineStr">
        <is>
          <t>16-Sep</t>
        </is>
      </c>
    </row>
    <row r="101">
      <c r="A101" s="50" t="inlineStr">
        <is>
          <t>JV-0037</t>
        </is>
      </c>
      <c r="B101" s="87" t="n">
        <v>46184</v>
      </c>
      <c r="C101" s="50" t="inlineStr">
        <is>
          <t>Due to / from Group Companies:FMH - Fourteen Manzil Heights</t>
        </is>
      </c>
      <c r="D101" s="50" t="n">
        <v>22100</v>
      </c>
      <c r="E101" s="50" t="inlineStr">
        <is>
          <t>FMH</t>
        </is>
      </c>
      <c r="F101" s="50" t="inlineStr">
        <is>
          <t>Project-wide</t>
        </is>
      </c>
      <c r="G101" s="88" t="n"/>
      <c r="H101" s="88" t="n">
        <v>375000</v>
      </c>
      <c r="I101" s="50" t="inlineStr">
        <is>
          <t>Paid by FMH for Awami Market - Ch# 10324043 issued to PDA</t>
        </is>
      </c>
      <c r="J101" t="inlineStr">
        <is>
          <t>16-Sep</t>
        </is>
      </c>
    </row>
    <row r="102">
      <c r="A102" s="50" t="inlineStr">
        <is>
          <t>JV-0038</t>
        </is>
      </c>
      <c r="B102" s="87" t="n">
        <v>46184</v>
      </c>
      <c r="C102" s="50" t="inlineStr">
        <is>
          <t>Cost of Sales:Project Development Cost:NOC &amp; Approvals</t>
        </is>
      </c>
      <c r="D102" s="50" t="n">
        <v>53300</v>
      </c>
      <c r="E102" s="50" t="inlineStr">
        <is>
          <t>Syed Yousaf Shah</t>
        </is>
      </c>
      <c r="F102" s="50" t="inlineStr">
        <is>
          <t>Project-wide</t>
        </is>
      </c>
      <c r="G102" s="88" t="n">
        <v>50000</v>
      </c>
      <c r="H102" s="88" t="n"/>
      <c r="I102" s="50" t="inlineStr">
        <is>
          <t>Paid to Yousaf saib as NOC payment PDA</t>
        </is>
      </c>
      <c r="J102" t="inlineStr">
        <is>
          <t>16-Sep</t>
        </is>
      </c>
    </row>
    <row r="103">
      <c r="A103" s="50" t="inlineStr">
        <is>
          <t>JV-0038</t>
        </is>
      </c>
      <c r="B103" s="87" t="n">
        <v>46184</v>
      </c>
      <c r="C103" s="50" t="inlineStr">
        <is>
          <t>Due to / from Group Companies:FMH - Fourteen Manzil Heights</t>
        </is>
      </c>
      <c r="D103" s="50" t="n">
        <v>22100</v>
      </c>
      <c r="E103" s="50" t="inlineStr">
        <is>
          <t>FMH</t>
        </is>
      </c>
      <c r="F103" s="50" t="inlineStr">
        <is>
          <t>Project-wide</t>
        </is>
      </c>
      <c r="G103" s="88" t="n"/>
      <c r="H103" s="88" t="n">
        <v>50000</v>
      </c>
      <c r="I103" s="50" t="inlineStr">
        <is>
          <t>Paid by FMH for Awami Market - Paid to Yousaf saib as NOC payment PDA</t>
        </is>
      </c>
      <c r="J103" t="inlineStr">
        <is>
          <t>16-Sep</t>
        </is>
      </c>
    </row>
    <row r="104">
      <c r="A104" s="50" t="inlineStr">
        <is>
          <t>JV-0039</t>
        </is>
      </c>
      <c r="B104" s="87" t="n">
        <v>46184</v>
      </c>
      <c r="C104" s="50" t="inlineStr">
        <is>
          <t>Marketing &amp; Sales Expenses:Marketing Printing &amp; Material</t>
        </is>
      </c>
      <c r="D104" s="50" t="n">
        <v>60300</v>
      </c>
      <c r="E104" s="50" t="inlineStr">
        <is>
          <t>Fayyaz Printing</t>
        </is>
      </c>
      <c r="F104" s="50" t="inlineStr">
        <is>
          <t>Project-wide</t>
        </is>
      </c>
      <c r="G104" s="88" t="n">
        <v>1500</v>
      </c>
      <c r="H104" s="88" t="n"/>
      <c r="I104" s="50" t="inlineStr">
        <is>
          <t>Paid to Fayyaz for A3 map printing</t>
        </is>
      </c>
      <c r="J104" t="inlineStr">
        <is>
          <t>16-Sep</t>
        </is>
      </c>
    </row>
    <row r="105">
      <c r="A105" s="50" t="inlineStr">
        <is>
          <t>JV-0039</t>
        </is>
      </c>
      <c r="B105" s="87" t="n">
        <v>46184</v>
      </c>
      <c r="C105" s="50" t="inlineStr">
        <is>
          <t>Due to / from Group Companies:FMH - Fourteen Manzil Heights</t>
        </is>
      </c>
      <c r="D105" s="50" t="n">
        <v>22100</v>
      </c>
      <c r="E105" s="50" t="inlineStr">
        <is>
          <t>FMH</t>
        </is>
      </c>
      <c r="F105" s="50" t="inlineStr">
        <is>
          <t>Project-wide</t>
        </is>
      </c>
      <c r="G105" s="88" t="n"/>
      <c r="H105" s="88" t="n">
        <v>1500</v>
      </c>
      <c r="I105" s="50" t="inlineStr">
        <is>
          <t>Paid by FMH for Awami Market - Paid to Fayyaz for A3 map printing</t>
        </is>
      </c>
      <c r="J105" t="inlineStr">
        <is>
          <t>16-Sep</t>
        </is>
      </c>
    </row>
    <row r="106">
      <c r="A106" s="50" t="inlineStr">
        <is>
          <t>JV-0040</t>
        </is>
      </c>
      <c r="B106" s="87" t="n">
        <v>46184</v>
      </c>
      <c r="C106" s="50" t="inlineStr">
        <is>
          <t>Marketing &amp; Sales Expenses:Marketing Printing &amp; Material</t>
        </is>
      </c>
      <c r="D106" s="50" t="n">
        <v>60300</v>
      </c>
      <c r="E106" s="50" t="inlineStr">
        <is>
          <t>RX Printings</t>
        </is>
      </c>
      <c r="F106" s="50" t="inlineStr">
        <is>
          <t>Project-wide</t>
        </is>
      </c>
      <c r="G106" s="88" t="n">
        <v>28000</v>
      </c>
      <c r="H106" s="88" t="n"/>
      <c r="I106" s="50" t="inlineStr">
        <is>
          <t>Paid to RX Printings for Awami Market printing</t>
        </is>
      </c>
      <c r="J106" t="inlineStr">
        <is>
          <t>16-Sep</t>
        </is>
      </c>
    </row>
    <row r="107">
      <c r="A107" s="50" t="inlineStr">
        <is>
          <t>JV-0040</t>
        </is>
      </c>
      <c r="B107" s="87" t="n">
        <v>46184</v>
      </c>
      <c r="C107" s="50" t="inlineStr">
        <is>
          <t>Due to / from Group Companies:FMH - Fourteen Manzil Heights</t>
        </is>
      </c>
      <c r="D107" s="50" t="n">
        <v>22100</v>
      </c>
      <c r="E107" s="50" t="inlineStr">
        <is>
          <t>FMH</t>
        </is>
      </c>
      <c r="F107" s="50" t="inlineStr">
        <is>
          <t>Project-wide</t>
        </is>
      </c>
      <c r="G107" s="88" t="n"/>
      <c r="H107" s="88" t="n">
        <v>28000</v>
      </c>
      <c r="I107" s="50" t="inlineStr">
        <is>
          <t>Paid by FMH for Awami Market - Paid to RX Printings for Awami Market printing</t>
        </is>
      </c>
      <c r="J107" t="inlineStr">
        <is>
          <t>16-Sep</t>
        </is>
      </c>
    </row>
    <row r="108">
      <c r="A108" s="50" t="inlineStr">
        <is>
          <t>JV-0041</t>
        </is>
      </c>
      <c r="B108" s="87" t="n">
        <v>46185</v>
      </c>
      <c r="C108" s="50" t="inlineStr">
        <is>
          <t>Marketing &amp; Sales Expenses:Marketing Printing &amp; Material</t>
        </is>
      </c>
      <c r="D108" s="50" t="n">
        <v>60300</v>
      </c>
      <c r="E108" s="50" t="n"/>
      <c r="F108" s="50" t="inlineStr">
        <is>
          <t>Project-wide</t>
        </is>
      </c>
      <c r="G108" s="88" t="n">
        <v>5200</v>
      </c>
      <c r="H108" s="88" t="n"/>
      <c r="I108" s="50" t="inlineStr">
        <is>
          <t>Paid for Kharkhano map A6 size printing</t>
        </is>
      </c>
      <c r="J108" t="inlineStr">
        <is>
          <t>16-Sep</t>
        </is>
      </c>
    </row>
    <row r="109">
      <c r="A109" s="50" t="inlineStr">
        <is>
          <t>JV-0041</t>
        </is>
      </c>
      <c r="B109" s="87" t="n">
        <v>46185</v>
      </c>
      <c r="C109" s="50" t="inlineStr">
        <is>
          <t>Due to / from Group Companies:FMH - Fourteen Manzil Heights</t>
        </is>
      </c>
      <c r="D109" s="50" t="n">
        <v>22100</v>
      </c>
      <c r="E109" s="50" t="inlineStr">
        <is>
          <t>FMH</t>
        </is>
      </c>
      <c r="F109" s="50" t="inlineStr">
        <is>
          <t>Project-wide</t>
        </is>
      </c>
      <c r="G109" s="88" t="n"/>
      <c r="H109" s="88" t="n">
        <v>5200</v>
      </c>
      <c r="I109" s="50" t="inlineStr">
        <is>
          <t>Paid by FMH for Awami Market - Paid for Kharkhano map A6 size printing</t>
        </is>
      </c>
      <c r="J109" t="inlineStr">
        <is>
          <t>16-Sep</t>
        </is>
      </c>
    </row>
    <row r="110">
      <c r="A110" s="50" t="inlineStr">
        <is>
          <t>JV-0042</t>
        </is>
      </c>
      <c r="B110" s="87" t="n">
        <v>46190</v>
      </c>
      <c r="C110" s="50" t="inlineStr">
        <is>
          <t>Administrative Expenses:Printing &amp; Stationery</t>
        </is>
      </c>
      <c r="D110" s="50" t="n">
        <v>70500</v>
      </c>
      <c r="E110" s="50" t="inlineStr">
        <is>
          <t>Momain Photocopy</t>
        </is>
      </c>
      <c r="F110" s="50" t="inlineStr">
        <is>
          <t>Project-wide</t>
        </is>
      </c>
      <c r="G110" s="88" t="n">
        <v>18250</v>
      </c>
      <c r="H110" s="88" t="n"/>
      <c r="I110" s="50" t="inlineStr">
        <is>
          <t>Paid to Momain photocopy online</t>
        </is>
      </c>
      <c r="J110" t="inlineStr">
        <is>
          <t>16-Sep</t>
        </is>
      </c>
    </row>
    <row r="111">
      <c r="A111" s="50" t="inlineStr">
        <is>
          <t>JV-0042</t>
        </is>
      </c>
      <c r="B111" s="87" t="n">
        <v>46190</v>
      </c>
      <c r="C111" s="50" t="inlineStr">
        <is>
          <t>Due to / from Group Companies:FMH - Fourteen Manzil Heights</t>
        </is>
      </c>
      <c r="D111" s="50" t="n">
        <v>22100</v>
      </c>
      <c r="E111" s="50" t="inlineStr">
        <is>
          <t>FMH</t>
        </is>
      </c>
      <c r="F111" s="50" t="inlineStr">
        <is>
          <t>Project-wide</t>
        </is>
      </c>
      <c r="G111" s="88" t="n"/>
      <c r="H111" s="88" t="n">
        <v>18250</v>
      </c>
      <c r="I111" s="50" t="inlineStr">
        <is>
          <t>Paid by FMH for Awami Market - Paid to Momain photocopy online</t>
        </is>
      </c>
      <c r="J111" t="inlineStr">
        <is>
          <t>16-Sep</t>
        </is>
      </c>
    </row>
    <row r="112">
      <c r="A112" s="50" t="inlineStr">
        <is>
          <t>JV-0043</t>
        </is>
      </c>
      <c r="B112" s="87" t="n">
        <v>46224</v>
      </c>
      <c r="C112" s="50" t="inlineStr">
        <is>
          <t>Cost of Sales:Project Development Cost:Architecture, Design &amp; Drawings</t>
        </is>
      </c>
      <c r="D112" s="50" t="n">
        <v>53100</v>
      </c>
      <c r="E112" s="50" t="inlineStr">
        <is>
          <t>Sabir</t>
        </is>
      </c>
      <c r="F112" s="50" t="inlineStr">
        <is>
          <t>Project-wide</t>
        </is>
      </c>
      <c r="G112" s="88" t="n">
        <v>500000</v>
      </c>
      <c r="H112" s="88" t="n"/>
      <c r="I112" s="50" t="inlineStr">
        <is>
          <t>Paid to Sabir for structure design</t>
        </is>
      </c>
      <c r="J112" t="inlineStr">
        <is>
          <t>16-Sep</t>
        </is>
      </c>
    </row>
    <row r="113">
      <c r="A113" s="50" t="inlineStr">
        <is>
          <t>JV-0043</t>
        </is>
      </c>
      <c r="B113" s="87" t="n">
        <v>46224</v>
      </c>
      <c r="C113" s="50" t="inlineStr">
        <is>
          <t>Due to / from Group Companies:FMH - Fourteen Manzil Heights</t>
        </is>
      </c>
      <c r="D113" s="50" t="n">
        <v>22100</v>
      </c>
      <c r="E113" s="50" t="inlineStr">
        <is>
          <t>FMH</t>
        </is>
      </c>
      <c r="F113" s="50" t="inlineStr">
        <is>
          <t>Project-wide</t>
        </is>
      </c>
      <c r="G113" s="88" t="n"/>
      <c r="H113" s="88" t="n">
        <v>500000</v>
      </c>
      <c r="I113" s="50" t="inlineStr">
        <is>
          <t>Paid by FMH for Awami Market - Paid to Sabir for structure design</t>
        </is>
      </c>
      <c r="J113" t="inlineStr">
        <is>
          <t>16-Sep</t>
        </is>
      </c>
    </row>
    <row r="114">
      <c r="A114" s="50" t="inlineStr">
        <is>
          <t>JV-0044</t>
        </is>
      </c>
      <c r="B114" s="87" t="n">
        <v>46272</v>
      </c>
      <c r="C114" s="50" t="inlineStr">
        <is>
          <t>Due to / from Group Companies:FMH - Fourteen Manzil Heights</t>
        </is>
      </c>
      <c r="D114" s="50" t="n">
        <v>22100</v>
      </c>
      <c r="E114" s="50" t="inlineStr">
        <is>
          <t>FMH</t>
        </is>
      </c>
      <c r="F114" s="50" t="inlineStr">
        <is>
          <t>Project-wide</t>
        </is>
      </c>
      <c r="G114" s="88" t="n">
        <v>1000000</v>
      </c>
      <c r="H114" s="88" t="n"/>
      <c r="I114" s="50" t="inlineStr">
        <is>
          <t>Paid to Ismail and Mikael, FMH landlord, as loan to FMH</t>
        </is>
      </c>
      <c r="J114" t="inlineStr">
        <is>
          <t>16-Sep</t>
        </is>
      </c>
    </row>
    <row r="115">
      <c r="A115" s="50" t="inlineStr">
        <is>
          <t>JV-0044</t>
        </is>
      </c>
      <c r="B115" s="87" t="n">
        <v>46272</v>
      </c>
      <c r="C115" s="50" t="inlineStr">
        <is>
          <t>Current Assets:Due from Directors:Syed Yousaf Shah</t>
        </is>
      </c>
      <c r="D115" s="50" t="n">
        <v>12610</v>
      </c>
      <c r="E115" s="50" t="inlineStr">
        <is>
          <t>Syed Yousaf Shah</t>
        </is>
      </c>
      <c r="F115" s="50" t="inlineStr">
        <is>
          <t>Project-wide</t>
        </is>
      </c>
      <c r="G115" s="88" t="n"/>
      <c r="H115" s="88" t="n">
        <v>1000000</v>
      </c>
      <c r="I115" s="50" t="inlineStr">
        <is>
          <t>Paid by Syed Yousaf Shah - Paid to Ismail and Mikael, FMH landlord, as loan to FMH</t>
        </is>
      </c>
      <c r="J115" t="inlineStr">
        <is>
          <t>16-Sep</t>
        </is>
      </c>
    </row>
    <row r="116">
      <c r="A116" s="50" t="inlineStr">
        <is>
          <t>JV-0045</t>
        </is>
      </c>
      <c r="B116" s="87" t="n">
        <v>46272</v>
      </c>
      <c r="C116" s="50" t="inlineStr">
        <is>
          <t>Marketing &amp; Sales Expenses:Events &amp; Client Entertainment</t>
        </is>
      </c>
      <c r="D116" s="50" t="n">
        <v>60400</v>
      </c>
      <c r="E116" s="50" t="n"/>
      <c r="F116" s="50" t="inlineStr">
        <is>
          <t>Project-wide</t>
        </is>
      </c>
      <c r="G116" s="88" t="n">
        <v>43600</v>
      </c>
      <c r="H116" s="88" t="n"/>
      <c r="I116" s="50" t="inlineStr">
        <is>
          <t>Dinner with clients by Syed Yousaf Shah</t>
        </is>
      </c>
      <c r="J116" t="inlineStr">
        <is>
          <t>16-Sep</t>
        </is>
      </c>
    </row>
    <row r="117">
      <c r="A117" s="50" t="inlineStr">
        <is>
          <t>JV-0045</t>
        </is>
      </c>
      <c r="B117" s="87" t="n">
        <v>46272</v>
      </c>
      <c r="C117" s="50" t="inlineStr">
        <is>
          <t>Current Assets:Due from Directors:Syed Yousaf Shah</t>
        </is>
      </c>
      <c r="D117" s="50" t="n">
        <v>12610</v>
      </c>
      <c r="E117" s="50" t="inlineStr">
        <is>
          <t>Syed Yousaf Shah</t>
        </is>
      </c>
      <c r="F117" s="50" t="inlineStr">
        <is>
          <t>Project-wide</t>
        </is>
      </c>
      <c r="G117" s="88" t="n"/>
      <c r="H117" s="88" t="n">
        <v>43600</v>
      </c>
      <c r="I117" s="50" t="inlineStr">
        <is>
          <t>Paid by Syed Yousaf Shah - Dinner with clients by Syed Yousaf Shah</t>
        </is>
      </c>
      <c r="J117" t="inlineStr">
        <is>
          <t>16-Sep</t>
        </is>
      </c>
    </row>
    <row r="118">
      <c r="A118" s="50" t="inlineStr">
        <is>
          <t>JV-0046</t>
        </is>
      </c>
      <c r="B118" s="87" t="n">
        <v>46275</v>
      </c>
      <c r="C118" s="50" t="inlineStr">
        <is>
          <t>Marketing &amp; Sales Expenses:Marketing Printing &amp; Material</t>
        </is>
      </c>
      <c r="D118" s="50" t="n">
        <v>60300</v>
      </c>
      <c r="E118" s="50" t="n"/>
      <c r="F118" s="50" t="inlineStr">
        <is>
          <t>Project-wide</t>
        </is>
      </c>
      <c r="G118" s="88" t="n">
        <v>16000</v>
      </c>
      <c r="H118" s="88" t="n"/>
      <c r="I118" s="50" t="inlineStr">
        <is>
          <t>Karkhano map printing</t>
        </is>
      </c>
      <c r="J118" t="inlineStr">
        <is>
          <t>16-Sep</t>
        </is>
      </c>
    </row>
    <row r="119">
      <c r="A119" s="50" t="inlineStr">
        <is>
          <t>JV-0046</t>
        </is>
      </c>
      <c r="B119" s="87" t="n">
        <v>46275</v>
      </c>
      <c r="C119" s="50" t="inlineStr">
        <is>
          <t>Current Assets:Due from Directors:Syed Yousaf Shah</t>
        </is>
      </c>
      <c r="D119" s="50" t="n">
        <v>12610</v>
      </c>
      <c r="E119" s="50" t="inlineStr">
        <is>
          <t>Syed Yousaf Shah</t>
        </is>
      </c>
      <c r="F119" s="50" t="inlineStr">
        <is>
          <t>Project-wide</t>
        </is>
      </c>
      <c r="G119" s="88" t="n"/>
      <c r="H119" s="88" t="n">
        <v>16000</v>
      </c>
      <c r="I119" s="50" t="inlineStr">
        <is>
          <t>Paid by Syed Yousaf Shah - Karkhano map printing</t>
        </is>
      </c>
      <c r="J119" t="inlineStr">
        <is>
          <t>16-Sep</t>
        </is>
      </c>
    </row>
    <row r="120">
      <c r="A120" s="50" t="inlineStr">
        <is>
          <t>JV-0047</t>
        </is>
      </c>
      <c r="B120" s="87" t="n">
        <v>46276</v>
      </c>
      <c r="C120" s="50" t="inlineStr">
        <is>
          <t>Other Operating Expenses:Donations, Sadqa &amp; Khairat</t>
        </is>
      </c>
      <c r="D120" s="50" t="n">
        <v>81100</v>
      </c>
      <c r="E120" s="50" t="n"/>
      <c r="F120" s="50" t="inlineStr">
        <is>
          <t>Project-wide</t>
        </is>
      </c>
      <c r="G120" s="88" t="n">
        <v>27000</v>
      </c>
      <c r="H120" s="88" t="n"/>
      <c r="I120" s="50" t="inlineStr">
        <is>
          <t>Khatam ul Quran</t>
        </is>
      </c>
      <c r="J120" t="inlineStr">
        <is>
          <t>16-Sep</t>
        </is>
      </c>
    </row>
    <row r="121">
      <c r="A121" s="50" t="inlineStr">
        <is>
          <t>JV-0047</t>
        </is>
      </c>
      <c r="B121" s="87" t="n">
        <v>46276</v>
      </c>
      <c r="C121" s="50" t="inlineStr">
        <is>
          <t>Current Assets:Due from Directors:Syed Yousaf Shah</t>
        </is>
      </c>
      <c r="D121" s="50" t="n">
        <v>12610</v>
      </c>
      <c r="E121" s="50" t="inlineStr">
        <is>
          <t>Syed Yousaf Shah</t>
        </is>
      </c>
      <c r="F121" s="50" t="inlineStr">
        <is>
          <t>Project-wide</t>
        </is>
      </c>
      <c r="G121" s="88" t="n"/>
      <c r="H121" s="88" t="n">
        <v>27000</v>
      </c>
      <c r="I121" s="50" t="inlineStr">
        <is>
          <t>Paid by Syed Yousaf Shah - Khatam ul Quran</t>
        </is>
      </c>
      <c r="J121" t="inlineStr">
        <is>
          <t>16-Sep</t>
        </is>
      </c>
    </row>
    <row r="122">
      <c r="A122" s="50" t="inlineStr">
        <is>
          <t>JV-0048</t>
        </is>
      </c>
      <c r="B122" s="87" t="n">
        <v>46277</v>
      </c>
      <c r="C122" s="50" t="inlineStr">
        <is>
          <t>Due to / from Group Companies:FMH - Fourteen Manzil Heights</t>
        </is>
      </c>
      <c r="D122" s="50" t="n">
        <v>22100</v>
      </c>
      <c r="E122" s="50" t="inlineStr">
        <is>
          <t>FMH</t>
        </is>
      </c>
      <c r="F122" s="50" t="inlineStr">
        <is>
          <t>Project-wide</t>
        </is>
      </c>
      <c r="G122" s="88" t="n">
        <v>76500</v>
      </c>
      <c r="H122" s="88" t="n"/>
      <c r="I122" s="50" t="inlineStr">
        <is>
          <t>Paid for FMH head office construction</t>
        </is>
      </c>
      <c r="J122" t="inlineStr">
        <is>
          <t>16-Sep</t>
        </is>
      </c>
    </row>
    <row r="123">
      <c r="A123" s="50" t="inlineStr">
        <is>
          <t>JV-0048</t>
        </is>
      </c>
      <c r="B123" s="87" t="n">
        <v>46277</v>
      </c>
      <c r="C123" s="50" t="inlineStr">
        <is>
          <t>Current Assets:Due from Directors:Syed Yousaf Shah</t>
        </is>
      </c>
      <c r="D123" s="50" t="n">
        <v>12610</v>
      </c>
      <c r="E123" s="50" t="inlineStr">
        <is>
          <t>Syed Yousaf Shah</t>
        </is>
      </c>
      <c r="F123" s="50" t="inlineStr">
        <is>
          <t>Project-wide</t>
        </is>
      </c>
      <c r="G123" s="88" t="n"/>
      <c r="H123" s="88" t="n">
        <v>76500</v>
      </c>
      <c r="I123" s="50" t="inlineStr">
        <is>
          <t>Paid by Syed Yousaf Shah - Paid for FMH head office construction</t>
        </is>
      </c>
      <c r="J123" t="inlineStr">
        <is>
          <t>16-Sep</t>
        </is>
      </c>
    </row>
    <row r="124">
      <c r="A124" s="50" t="inlineStr">
        <is>
          <t>JV-0049</t>
        </is>
      </c>
      <c r="B124" s="87" t="n">
        <v>46277</v>
      </c>
      <c r="C124" s="50" t="inlineStr">
        <is>
          <t>Due to / from Group Companies:FMH - Fourteen Manzil Heights</t>
        </is>
      </c>
      <c r="D124" s="50" t="n">
        <v>22100</v>
      </c>
      <c r="E124" s="50" t="inlineStr">
        <is>
          <t>FMH</t>
        </is>
      </c>
      <c r="F124" s="50" t="inlineStr">
        <is>
          <t>Project-wide</t>
        </is>
      </c>
      <c r="G124" s="88" t="n">
        <v>73000</v>
      </c>
      <c r="H124" s="88" t="n"/>
      <c r="I124" s="50" t="inlineStr">
        <is>
          <t>Paid for FMH head office construction</t>
        </is>
      </c>
      <c r="J124" t="inlineStr">
        <is>
          <t>16-Sep</t>
        </is>
      </c>
    </row>
    <row r="125">
      <c r="A125" s="50" t="inlineStr">
        <is>
          <t>JV-0049</t>
        </is>
      </c>
      <c r="B125" s="87" t="n">
        <v>46277</v>
      </c>
      <c r="C125" s="50" t="inlineStr">
        <is>
          <t>Current Assets:Due from Directors:Syed Yousaf Shah</t>
        </is>
      </c>
      <c r="D125" s="50" t="n">
        <v>12610</v>
      </c>
      <c r="E125" s="50" t="inlineStr">
        <is>
          <t>Syed Yousaf Shah</t>
        </is>
      </c>
      <c r="F125" s="50" t="inlineStr">
        <is>
          <t>Project-wide</t>
        </is>
      </c>
      <c r="G125" s="88" t="n"/>
      <c r="H125" s="88" t="n">
        <v>73000</v>
      </c>
      <c r="I125" s="50" t="inlineStr">
        <is>
          <t>Paid by Syed Yousaf Shah - Paid for FMH head office construction</t>
        </is>
      </c>
      <c r="J125" t="inlineStr">
        <is>
          <t>16-Sep</t>
        </is>
      </c>
    </row>
    <row r="126">
      <c r="A126" s="50" t="inlineStr">
        <is>
          <t>JV-0050</t>
        </is>
      </c>
      <c r="B126" s="87" t="n">
        <v>46278</v>
      </c>
      <c r="C126" s="50" t="inlineStr">
        <is>
          <t>Other Operating Expenses:Donations, Sadqa &amp; Khairat</t>
        </is>
      </c>
      <c r="D126" s="50" t="n">
        <v>81100</v>
      </c>
      <c r="E126" s="50" t="n"/>
      <c r="F126" s="50" t="inlineStr">
        <is>
          <t>Project-wide</t>
        </is>
      </c>
      <c r="G126" s="88" t="n">
        <v>29000</v>
      </c>
      <c r="H126" s="88" t="n"/>
      <c r="I126" s="50" t="inlineStr">
        <is>
          <t>Khairat at Karkhano</t>
        </is>
      </c>
      <c r="J126" t="inlineStr">
        <is>
          <t>16-Sep</t>
        </is>
      </c>
    </row>
    <row r="127">
      <c r="A127" s="50" t="inlineStr">
        <is>
          <t>JV-0050</t>
        </is>
      </c>
      <c r="B127" s="87" t="n">
        <v>46278</v>
      </c>
      <c r="C127" s="50" t="inlineStr">
        <is>
          <t>Current Assets:Due from Directors:Syed Yousaf Shah</t>
        </is>
      </c>
      <c r="D127" s="50" t="n">
        <v>12610</v>
      </c>
      <c r="E127" s="50" t="inlineStr">
        <is>
          <t>Syed Yousaf Shah</t>
        </is>
      </c>
      <c r="F127" s="50" t="inlineStr">
        <is>
          <t>Project-wide</t>
        </is>
      </c>
      <c r="G127" s="88" t="n"/>
      <c r="H127" s="88" t="n">
        <v>29000</v>
      </c>
      <c r="I127" s="50" t="inlineStr">
        <is>
          <t>Paid by Syed Yousaf Shah - Khairat at Karkhano</t>
        </is>
      </c>
      <c r="J127" t="inlineStr">
        <is>
          <t>16-Sep</t>
        </is>
      </c>
    </row>
    <row r="128">
      <c r="A128" s="50" t="inlineStr">
        <is>
          <t>JV-0051</t>
        </is>
      </c>
      <c r="B128" s="87" t="n">
        <v>46278</v>
      </c>
      <c r="C128" s="50" t="inlineStr">
        <is>
          <t>Due to / from Group Companies:FMH - Fourteen Manzil Heights</t>
        </is>
      </c>
      <c r="D128" s="50" t="n">
        <v>22100</v>
      </c>
      <c r="E128" s="50" t="inlineStr">
        <is>
          <t>FMH</t>
        </is>
      </c>
      <c r="F128" s="50" t="inlineStr">
        <is>
          <t>Project-wide</t>
        </is>
      </c>
      <c r="G128" s="88" t="n">
        <v>74000</v>
      </c>
      <c r="H128" s="88" t="n"/>
      <c r="I128" s="50" t="inlineStr">
        <is>
          <t>Paid for FMH head office construction, bricks</t>
        </is>
      </c>
      <c r="J128" t="inlineStr">
        <is>
          <t>16-Sep</t>
        </is>
      </c>
    </row>
    <row r="129">
      <c r="A129" s="50" t="inlineStr">
        <is>
          <t>JV-0051</t>
        </is>
      </c>
      <c r="B129" s="87" t="n">
        <v>46278</v>
      </c>
      <c r="C129" s="50" t="inlineStr">
        <is>
          <t>Current Assets:Due from Directors:Syed Yousaf Shah</t>
        </is>
      </c>
      <c r="D129" s="50" t="n">
        <v>12610</v>
      </c>
      <c r="E129" s="50" t="inlineStr">
        <is>
          <t>Syed Yousaf Shah</t>
        </is>
      </c>
      <c r="F129" s="50" t="inlineStr">
        <is>
          <t>Project-wide</t>
        </is>
      </c>
      <c r="G129" s="88" t="n"/>
      <c r="H129" s="88" t="n">
        <v>74000</v>
      </c>
      <c r="I129" s="50" t="inlineStr">
        <is>
          <t>Paid by Syed Yousaf Shah - Paid for FMH head office construction, bricks</t>
        </is>
      </c>
      <c r="J129" t="inlineStr">
        <is>
          <t>16-Sep</t>
        </is>
      </c>
    </row>
    <row r="130">
      <c r="A130" s="50" t="inlineStr">
        <is>
          <t>JV-0052</t>
        </is>
      </c>
      <c r="B130" s="87" t="n">
        <v>46164</v>
      </c>
      <c r="C130" s="50" t="inlineStr">
        <is>
          <t>Other Assets:Software &amp; Licences</t>
        </is>
      </c>
      <c r="D130" s="50" t="n">
        <v>16100</v>
      </c>
      <c r="E130" s="50" t="inlineStr">
        <is>
          <t>Rashid</t>
        </is>
      </c>
      <c r="F130" s="50" t="inlineStr">
        <is>
          <t>Project-wide</t>
        </is>
      </c>
      <c r="G130" s="88" t="n">
        <v>8000</v>
      </c>
      <c r="H130" s="88" t="n"/>
      <c r="I130" s="50" t="inlineStr">
        <is>
          <t>Paid to Rashid Mansoor for CRM software - KBH ref CPV-8199</t>
        </is>
      </c>
      <c r="J130" t="inlineStr">
        <is>
          <t>15-Sep</t>
        </is>
      </c>
    </row>
    <row r="131">
      <c r="A131" s="50" t="inlineStr">
        <is>
          <t>JV-0052</t>
        </is>
      </c>
      <c r="B131" s="87" t="n">
        <v>46164</v>
      </c>
      <c r="C131" s="50" t="inlineStr">
        <is>
          <t>Due to / from Group Companies:KBH - Khushal Bagh Heights</t>
        </is>
      </c>
      <c r="D131" s="50" t="n">
        <v>22200</v>
      </c>
      <c r="E131" s="50" t="inlineStr">
        <is>
          <t>KBH</t>
        </is>
      </c>
      <c r="F131" s="50" t="inlineStr">
        <is>
          <t>Project-wide</t>
        </is>
      </c>
      <c r="G131" s="88" t="n"/>
      <c r="H131" s="88" t="n">
        <v>8000</v>
      </c>
      <c r="I131" s="50" t="inlineStr">
        <is>
          <t>Paid by KBH for Awami Market - Paid to Rashid Mansoor for CRM software - KBH ref CPV-8199</t>
        </is>
      </c>
      <c r="J131" t="inlineStr">
        <is>
          <t>15-Sep</t>
        </is>
      </c>
    </row>
    <row r="132">
      <c r="A132" s="50" t="inlineStr">
        <is>
          <t>JV-0053</t>
        </is>
      </c>
      <c r="B132" s="87" t="n">
        <v>46165</v>
      </c>
      <c r="C132" s="50" t="inlineStr">
        <is>
          <t>Other Assets:Software &amp; Licences</t>
        </is>
      </c>
      <c r="D132" s="50" t="n">
        <v>16100</v>
      </c>
      <c r="E132" s="50" t="inlineStr">
        <is>
          <t>Rashid</t>
        </is>
      </c>
      <c r="F132" s="50" t="inlineStr">
        <is>
          <t>Project-wide</t>
        </is>
      </c>
      <c r="G132" s="88" t="n">
        <v>100000</v>
      </c>
      <c r="H132" s="88" t="n"/>
      <c r="I132" s="50" t="inlineStr">
        <is>
          <t>Paid to Rashid Mansoor for QuickBooks - KBH ref CPV-8219</t>
        </is>
      </c>
      <c r="J132" t="inlineStr">
        <is>
          <t>15-Sep</t>
        </is>
      </c>
    </row>
    <row r="133">
      <c r="A133" s="50" t="inlineStr">
        <is>
          <t>JV-0053</t>
        </is>
      </c>
      <c r="B133" s="87" t="n">
        <v>46165</v>
      </c>
      <c r="C133" s="50" t="inlineStr">
        <is>
          <t>Due to / from Group Companies:KBH - Khushal Bagh Heights</t>
        </is>
      </c>
      <c r="D133" s="50" t="n">
        <v>22200</v>
      </c>
      <c r="E133" s="50" t="inlineStr">
        <is>
          <t>KBH</t>
        </is>
      </c>
      <c r="F133" s="50" t="inlineStr">
        <is>
          <t>Project-wide</t>
        </is>
      </c>
      <c r="G133" s="88" t="n"/>
      <c r="H133" s="88" t="n">
        <v>100000</v>
      </c>
      <c r="I133" s="50" t="inlineStr">
        <is>
          <t>Paid by KBH for Awami Market - Paid to Rashid Mansoor for QuickBooks - KBH ref CPV-8219</t>
        </is>
      </c>
      <c r="J133" t="inlineStr">
        <is>
          <t>15-Sep</t>
        </is>
      </c>
    </row>
    <row r="134">
      <c r="A134" s="50" t="inlineStr">
        <is>
          <t>JV-0054</t>
        </is>
      </c>
      <c r="B134" s="87" t="n">
        <v>46167</v>
      </c>
      <c r="C134" s="50" t="inlineStr">
        <is>
          <t>Other Assets:Software &amp; Licences</t>
        </is>
      </c>
      <c r="D134" s="50" t="n">
        <v>16100</v>
      </c>
      <c r="E134" s="50" t="inlineStr">
        <is>
          <t>Rashid</t>
        </is>
      </c>
      <c r="F134" s="50" t="inlineStr">
        <is>
          <t>Project-wide</t>
        </is>
      </c>
      <c r="G134" s="88" t="n">
        <v>200000</v>
      </c>
      <c r="H134" s="88" t="n"/>
      <c r="I134" s="50" t="inlineStr">
        <is>
          <t>Paid to Rashid Mansoor for QuickBooks - KBH ref CPV-8222</t>
        </is>
      </c>
      <c r="J134" t="inlineStr">
        <is>
          <t>15-Sep</t>
        </is>
      </c>
    </row>
    <row r="135">
      <c r="A135" s="50" t="inlineStr">
        <is>
          <t>JV-0054</t>
        </is>
      </c>
      <c r="B135" s="87" t="n">
        <v>46167</v>
      </c>
      <c r="C135" s="50" t="inlineStr">
        <is>
          <t>Due to / from Group Companies:KBH - Khushal Bagh Heights</t>
        </is>
      </c>
      <c r="D135" s="50" t="n">
        <v>22200</v>
      </c>
      <c r="E135" s="50" t="inlineStr">
        <is>
          <t>KBH</t>
        </is>
      </c>
      <c r="F135" s="50" t="inlineStr">
        <is>
          <t>Project-wide</t>
        </is>
      </c>
      <c r="G135" s="88" t="n"/>
      <c r="H135" s="88" t="n">
        <v>200000</v>
      </c>
      <c r="I135" s="50" t="inlineStr">
        <is>
          <t>Paid by KBH for Awami Market - Paid to Rashid Mansoor for QuickBooks - KBH ref CPV-8222</t>
        </is>
      </c>
      <c r="J135" t="inlineStr">
        <is>
          <t>15-Sep</t>
        </is>
      </c>
    </row>
    <row r="136">
      <c r="A136" s="50" t="inlineStr">
        <is>
          <t>JV-0055</t>
        </is>
      </c>
      <c r="B136" s="87" t="n">
        <v>46168</v>
      </c>
      <c r="C136" s="50" t="inlineStr">
        <is>
          <t>Cost of Sales:Project Development Cost:Regulatory &amp; Facilitation</t>
        </is>
      </c>
      <c r="D136" s="50" t="n">
        <v>53500</v>
      </c>
      <c r="E136" s="50" t="inlineStr">
        <is>
          <t>Patwari</t>
        </is>
      </c>
      <c r="F136" s="50" t="inlineStr">
        <is>
          <t>Project-wide</t>
        </is>
      </c>
      <c r="G136" s="88" t="n">
        <v>100000</v>
      </c>
      <c r="H136" s="88" t="n"/>
      <c r="I136" s="50" t="inlineStr">
        <is>
          <t>Paid to Patwari for Karkhano project by Syed Yousaf Shah - KBH ref CPV-8264</t>
        </is>
      </c>
      <c r="J136" t="inlineStr">
        <is>
          <t>16-Sep</t>
        </is>
      </c>
    </row>
    <row r="137">
      <c r="A137" s="50" t="inlineStr">
        <is>
          <t>JV-0055</t>
        </is>
      </c>
      <c r="B137" s="87" t="n">
        <v>46168</v>
      </c>
      <c r="C137" s="50" t="inlineStr">
        <is>
          <t>Due to / from Group Companies:KBH - Khushal Bagh Heights</t>
        </is>
      </c>
      <c r="D137" s="50" t="n">
        <v>22200</v>
      </c>
      <c r="E137" s="50" t="inlineStr">
        <is>
          <t>KBH</t>
        </is>
      </c>
      <c r="F137" s="50" t="inlineStr">
        <is>
          <t>Project-wide</t>
        </is>
      </c>
      <c r="G137" s="88" t="n"/>
      <c r="H137" s="88" t="n">
        <v>100000</v>
      </c>
      <c r="I137" s="50" t="inlineStr">
        <is>
          <t>Paid by KBH for Awami Market - Paid to Patwari for Karkhano project by Syed Yousaf Shah - KBH ref CPV-8264</t>
        </is>
      </c>
      <c r="J137" t="inlineStr">
        <is>
          <t>16-Sep</t>
        </is>
      </c>
    </row>
    <row r="138">
      <c r="A138" s="50" t="inlineStr">
        <is>
          <t>JV-0056</t>
        </is>
      </c>
      <c r="B138" s="87" t="n">
        <v>46181</v>
      </c>
      <c r="C138" s="50" t="inlineStr">
        <is>
          <t>Current Assets:Due from Directors:Syed Yousaf Shah</t>
        </is>
      </c>
      <c r="D138" s="50" t="n">
        <v>12610</v>
      </c>
      <c r="E138" s="50" t="inlineStr">
        <is>
          <t>Syed Yousaf Shah</t>
        </is>
      </c>
      <c r="F138" s="50" t="inlineStr">
        <is>
          <t>Project-wide</t>
        </is>
      </c>
      <c r="G138" s="88" t="n">
        <v>1000000</v>
      </c>
      <c r="H138" s="88" t="n"/>
      <c r="I138" s="50" t="inlineStr">
        <is>
          <t>Cash handed over to Syed Yousaf Shah through Jawad - KBH ref CPV-8327</t>
        </is>
      </c>
      <c r="J138" t="inlineStr">
        <is>
          <t>16-Sep</t>
        </is>
      </c>
    </row>
    <row r="139">
      <c r="A139" s="50" t="inlineStr">
        <is>
          <t>JV-0056</t>
        </is>
      </c>
      <c r="B139" s="87" t="n">
        <v>46181</v>
      </c>
      <c r="C139" s="50" t="inlineStr">
        <is>
          <t>Due to / from Group Companies:KBH - Khushal Bagh Heights</t>
        </is>
      </c>
      <c r="D139" s="50" t="n">
        <v>22200</v>
      </c>
      <c r="E139" s="50" t="inlineStr">
        <is>
          <t>KBH</t>
        </is>
      </c>
      <c r="F139" s="50" t="inlineStr">
        <is>
          <t>Project-wide</t>
        </is>
      </c>
      <c r="G139" s="88" t="n"/>
      <c r="H139" s="88" t="n">
        <v>1000000</v>
      </c>
      <c r="I139" s="50" t="inlineStr">
        <is>
          <t>Paid by KBH for Awami Market - Cash handed over to Syed Yousaf Shah through Jawad - KBH ref CPV-8327</t>
        </is>
      </c>
      <c r="J139" t="inlineStr">
        <is>
          <t>16-Sep</t>
        </is>
      </c>
    </row>
    <row r="140">
      <c r="A140" s="50" t="inlineStr">
        <is>
          <t>JV-0057</t>
        </is>
      </c>
      <c r="B140" s="87" t="n">
        <v>46181</v>
      </c>
      <c r="C140" s="50" t="inlineStr">
        <is>
          <t>Marketing &amp; Sales Expenses:Marketing Printing &amp; Material</t>
        </is>
      </c>
      <c r="D140" s="50" t="n">
        <v>60300</v>
      </c>
      <c r="E140" s="50" t="inlineStr">
        <is>
          <t>Jawad</t>
        </is>
      </c>
      <c r="F140" s="50" t="inlineStr">
        <is>
          <t>Project-wide</t>
        </is>
      </c>
      <c r="G140" s="88" t="n">
        <v>3000</v>
      </c>
      <c r="H140" s="88" t="n"/>
      <c r="I140" s="50" t="inlineStr">
        <is>
          <t>Paid to Jawad - two colour print map of Karkhano - KBH ref CPV-8328</t>
        </is>
      </c>
      <c r="J140" t="inlineStr">
        <is>
          <t>16-Sep</t>
        </is>
      </c>
    </row>
    <row r="141">
      <c r="A141" s="50" t="inlineStr">
        <is>
          <t>JV-0057</t>
        </is>
      </c>
      <c r="B141" s="87" t="n">
        <v>46181</v>
      </c>
      <c r="C141" s="50" t="inlineStr">
        <is>
          <t>Due to / from Group Companies:KBH - Khushal Bagh Heights</t>
        </is>
      </c>
      <c r="D141" s="50" t="n">
        <v>22200</v>
      </c>
      <c r="E141" s="50" t="inlineStr">
        <is>
          <t>KBH</t>
        </is>
      </c>
      <c r="F141" s="50" t="inlineStr">
        <is>
          <t>Project-wide</t>
        </is>
      </c>
      <c r="G141" s="88" t="n"/>
      <c r="H141" s="88" t="n">
        <v>3000</v>
      </c>
      <c r="I141" s="50" t="inlineStr">
        <is>
          <t>Paid by KBH for Awami Market - Paid to Jawad - two colour print map of Karkhano - KBH ref CPV-8328</t>
        </is>
      </c>
      <c r="J141" t="inlineStr">
        <is>
          <t>16-Sep</t>
        </is>
      </c>
    </row>
    <row r="142">
      <c r="A142" s="50" t="inlineStr">
        <is>
          <t>JV-0058</t>
        </is>
      </c>
      <c r="B142" s="87" t="n">
        <v>46196</v>
      </c>
      <c r="C142" s="50" t="inlineStr">
        <is>
          <t>Marketing &amp; Sales Expenses:Marketing Printing &amp; Material</t>
        </is>
      </c>
      <c r="D142" s="50" t="n">
        <v>60300</v>
      </c>
      <c r="E142" s="50" t="inlineStr">
        <is>
          <t>Jawad</t>
        </is>
      </c>
      <c r="F142" s="50" t="inlineStr">
        <is>
          <t>Project-wide</t>
        </is>
      </c>
      <c r="G142" s="88" t="n">
        <v>3000</v>
      </c>
      <c r="H142" s="88" t="n"/>
      <c r="I142" s="50" t="inlineStr">
        <is>
          <t>Paid to Jawad - printing map of Awami Market - KBH ref CPV-8444</t>
        </is>
      </c>
      <c r="J142" t="inlineStr">
        <is>
          <t>16-Sep</t>
        </is>
      </c>
    </row>
    <row r="143">
      <c r="A143" s="50" t="inlineStr">
        <is>
          <t>JV-0058</t>
        </is>
      </c>
      <c r="B143" s="87" t="n">
        <v>46196</v>
      </c>
      <c r="C143" s="50" t="inlineStr">
        <is>
          <t>Due to / from Group Companies:KBH - Khushal Bagh Heights</t>
        </is>
      </c>
      <c r="D143" s="50" t="n">
        <v>22200</v>
      </c>
      <c r="E143" s="50" t="inlineStr">
        <is>
          <t>KBH</t>
        </is>
      </c>
      <c r="F143" s="50" t="inlineStr">
        <is>
          <t>Project-wide</t>
        </is>
      </c>
      <c r="G143" s="88" t="n"/>
      <c r="H143" s="88" t="n">
        <v>3000</v>
      </c>
      <c r="I143" s="50" t="inlineStr">
        <is>
          <t>Paid by KBH for Awami Market - Paid to Jawad - printing map of Awami Market - KBH ref CPV-8444</t>
        </is>
      </c>
      <c r="J143" t="inlineStr">
        <is>
          <t>16-Sep</t>
        </is>
      </c>
    </row>
    <row r="144">
      <c r="A144" s="50" t="inlineStr">
        <is>
          <t>JV-0059</t>
        </is>
      </c>
      <c r="B144" s="87" t="n">
        <v>46203</v>
      </c>
      <c r="C144" s="50" t="inlineStr">
        <is>
          <t>Marketing &amp; Sales Expenses:Marketing Printing &amp; Material</t>
        </is>
      </c>
      <c r="D144" s="50" t="n">
        <v>60300</v>
      </c>
      <c r="E144" s="50" t="inlineStr">
        <is>
          <t>Jawad</t>
        </is>
      </c>
      <c r="F144" s="50" t="inlineStr">
        <is>
          <t>Project-wide</t>
        </is>
      </c>
      <c r="G144" s="88" t="n">
        <v>15500</v>
      </c>
      <c r="H144" s="88" t="n"/>
      <c r="I144" s="50" t="inlineStr">
        <is>
          <t>Paid to Jawad - colour print map A1, eight copies - KBH ref CPV-8497</t>
        </is>
      </c>
      <c r="J144" t="inlineStr">
        <is>
          <t>16-Sep</t>
        </is>
      </c>
    </row>
    <row r="145">
      <c r="A145" s="50" t="inlineStr">
        <is>
          <t>JV-0059</t>
        </is>
      </c>
      <c r="B145" s="87" t="n">
        <v>46203</v>
      </c>
      <c r="C145" s="50" t="inlineStr">
        <is>
          <t>Due to / from Group Companies:KBH - Khushal Bagh Heights</t>
        </is>
      </c>
      <c r="D145" s="50" t="n">
        <v>22200</v>
      </c>
      <c r="E145" s="50" t="inlineStr">
        <is>
          <t>KBH</t>
        </is>
      </c>
      <c r="F145" s="50" t="inlineStr">
        <is>
          <t>Project-wide</t>
        </is>
      </c>
      <c r="G145" s="88" t="n"/>
      <c r="H145" s="88" t="n">
        <v>15500</v>
      </c>
      <c r="I145" s="50" t="inlineStr">
        <is>
          <t>Paid by KBH for Awami Market - Paid to Jawad - colour print map A1, eight copies - KBH ref CPV-8497</t>
        </is>
      </c>
      <c r="J145" t="inlineStr">
        <is>
          <t>16-Sep</t>
        </is>
      </c>
    </row>
    <row r="146">
      <c r="A146" s="50" t="inlineStr">
        <is>
          <t>JV-0060</t>
        </is>
      </c>
      <c r="B146" s="87" t="n">
        <v>46206</v>
      </c>
      <c r="C146" s="50" t="inlineStr">
        <is>
          <t>Marketing &amp; Sales Expenses:Advertising &amp; Promotion</t>
        </is>
      </c>
      <c r="D146" s="50" t="n">
        <v>60100</v>
      </c>
      <c r="E146" s="50" t="inlineStr">
        <is>
          <t>Asif Akhtar</t>
        </is>
      </c>
      <c r="F146" s="50" t="inlineStr">
        <is>
          <t>Project-wide</t>
        </is>
      </c>
      <c r="G146" s="88" t="n">
        <v>50000</v>
      </c>
      <c r="H146" s="88" t="n"/>
      <c r="I146" s="50" t="inlineStr">
        <is>
          <t>Paid online to Asif Akhtar for 3D animation, through Jawad - KBH ref CPV-8526</t>
        </is>
      </c>
      <c r="J146" t="inlineStr">
        <is>
          <t>16-Sep</t>
        </is>
      </c>
    </row>
    <row r="147">
      <c r="A147" s="50" t="inlineStr">
        <is>
          <t>JV-0060</t>
        </is>
      </c>
      <c r="B147" s="87" t="n">
        <v>46206</v>
      </c>
      <c r="C147" s="50" t="inlineStr">
        <is>
          <t>Due to / from Group Companies:KBH - Khushal Bagh Heights</t>
        </is>
      </c>
      <c r="D147" s="50" t="n">
        <v>22200</v>
      </c>
      <c r="E147" s="50" t="inlineStr">
        <is>
          <t>KBH</t>
        </is>
      </c>
      <c r="F147" s="50" t="inlineStr">
        <is>
          <t>Project-wide</t>
        </is>
      </c>
      <c r="G147" s="88" t="n"/>
      <c r="H147" s="88" t="n">
        <v>50000</v>
      </c>
      <c r="I147" s="50" t="inlineStr">
        <is>
          <t>Paid by KBH for Awami Market - Paid online to Asif Akhtar for 3D animation, through Jawad - KBH ref CPV-8526</t>
        </is>
      </c>
      <c r="J147" t="inlineStr">
        <is>
          <t>16-Sep</t>
        </is>
      </c>
    </row>
    <row r="148">
      <c r="A148" s="50" t="inlineStr">
        <is>
          <t>JV-0061</t>
        </is>
      </c>
      <c r="B148" s="87" t="n">
        <v>46218</v>
      </c>
      <c r="C148" s="50" t="inlineStr">
        <is>
          <t>Marketing &amp; Sales Expenses:Advertising &amp; Promotion</t>
        </is>
      </c>
      <c r="D148" s="50" t="n">
        <v>60100</v>
      </c>
      <c r="E148" s="50" t="inlineStr">
        <is>
          <t>Asif Akhtar</t>
        </is>
      </c>
      <c r="F148" s="50" t="inlineStr">
        <is>
          <t>Project-wide</t>
        </is>
      </c>
      <c r="G148" s="88" t="n">
        <v>50000</v>
      </c>
      <c r="H148" s="88" t="n"/>
      <c r="I148" s="50" t="inlineStr">
        <is>
          <t>Paid online to Asif Akhtar for 3D animation, through Jawad - KBH ref CPV-8624</t>
        </is>
      </c>
      <c r="J148" t="inlineStr">
        <is>
          <t>16-Sep</t>
        </is>
      </c>
    </row>
    <row r="149">
      <c r="A149" s="50" t="inlineStr">
        <is>
          <t>JV-0061</t>
        </is>
      </c>
      <c r="B149" s="87" t="n">
        <v>46218</v>
      </c>
      <c r="C149" s="50" t="inlineStr">
        <is>
          <t>Due to / from Group Companies:KBH - Khushal Bagh Heights</t>
        </is>
      </c>
      <c r="D149" s="50" t="n">
        <v>22200</v>
      </c>
      <c r="E149" s="50" t="inlineStr">
        <is>
          <t>KBH</t>
        </is>
      </c>
      <c r="F149" s="50" t="inlineStr">
        <is>
          <t>Project-wide</t>
        </is>
      </c>
      <c r="G149" s="88" t="n"/>
      <c r="H149" s="88" t="n">
        <v>50000</v>
      </c>
      <c r="I149" s="50" t="inlineStr">
        <is>
          <t>Paid by KBH for Awami Market - Paid online to Asif Akhtar for 3D animation, through Jawad - KBH ref CPV-8624</t>
        </is>
      </c>
      <c r="J149" t="inlineStr">
        <is>
          <t>16-Sep</t>
        </is>
      </c>
    </row>
    <row r="150">
      <c r="A150" s="50" t="inlineStr">
        <is>
          <t>JV-0062</t>
        </is>
      </c>
      <c r="B150" s="87" t="n">
        <v>46242</v>
      </c>
      <c r="C150" s="50" t="inlineStr">
        <is>
          <t>Marketing &amp; Sales Expenses:Advertising &amp; Promotion</t>
        </is>
      </c>
      <c r="D150" s="50" t="n">
        <v>60100</v>
      </c>
      <c r="E150" s="50" t="inlineStr">
        <is>
          <t>Asif Akhtar</t>
        </is>
      </c>
      <c r="F150" s="50" t="inlineStr">
        <is>
          <t>Project-wide</t>
        </is>
      </c>
      <c r="G150" s="88" t="n">
        <v>100000</v>
      </c>
      <c r="H150" s="88" t="n"/>
      <c r="I150" s="50" t="inlineStr">
        <is>
          <t>Paid online to Asif Akhtar for 3D animation by Syed Yousaf Shah, deducted from his loan - KBH ref JV-924</t>
        </is>
      </c>
      <c r="J150" t="inlineStr">
        <is>
          <t>16-Sep</t>
        </is>
      </c>
    </row>
    <row r="151">
      <c r="A151" s="50" t="inlineStr">
        <is>
          <t>JV-0062</t>
        </is>
      </c>
      <c r="B151" s="87" t="n">
        <v>46242</v>
      </c>
      <c r="C151" s="50" t="inlineStr">
        <is>
          <t>Due to / from Group Companies:KBH - Khushal Bagh Heights</t>
        </is>
      </c>
      <c r="D151" s="50" t="n">
        <v>22200</v>
      </c>
      <c r="E151" s="50" t="inlineStr">
        <is>
          <t>KBH</t>
        </is>
      </c>
      <c r="F151" s="50" t="inlineStr">
        <is>
          <t>Project-wide</t>
        </is>
      </c>
      <c r="G151" s="88" t="n"/>
      <c r="H151" s="88" t="n">
        <v>100000</v>
      </c>
      <c r="I151" s="50" t="inlineStr">
        <is>
          <t>Paid by KBH for Awami Market - Paid online to Asif Akhtar for 3D animation by Syed Yousaf Shah, deducted from his loan - KBH ref JV-924</t>
        </is>
      </c>
      <c r="J151" t="inlineStr">
        <is>
          <t>16-Sep</t>
        </is>
      </c>
    </row>
    <row r="152">
      <c r="A152" s="50" t="inlineStr">
        <is>
          <t>JV-0063</t>
        </is>
      </c>
      <c r="B152" s="87" t="n">
        <v>46253</v>
      </c>
      <c r="C152" s="50" t="inlineStr">
        <is>
          <t>Current Assets:Due from Directors:Syed Yousaf Shah</t>
        </is>
      </c>
      <c r="D152" s="50" t="n">
        <v>12610</v>
      </c>
      <c r="E152" s="50" t="inlineStr">
        <is>
          <t>Syed Yousaf Shah</t>
        </is>
      </c>
      <c r="F152" s="50" t="inlineStr">
        <is>
          <t>Project-wide</t>
        </is>
      </c>
      <c r="G152" s="88" t="n">
        <v>4900000</v>
      </c>
      <c r="H152" s="88" t="n"/>
      <c r="I152" s="50" t="inlineStr">
        <is>
          <t>Cash of unit UG-06, Arbab Zubair Khan, CRV-10013, taken by Syed Yousaf Shah - KBH ref JV-939</t>
        </is>
      </c>
      <c r="J152" t="inlineStr">
        <is>
          <t>16-Sep</t>
        </is>
      </c>
    </row>
    <row r="153">
      <c r="A153" s="50" t="inlineStr">
        <is>
          <t>JV-0063</t>
        </is>
      </c>
      <c r="B153" s="87" t="n">
        <v>46253</v>
      </c>
      <c r="C153" s="50" t="inlineStr">
        <is>
          <t>Due to / from Group Companies:KBH - Khushal Bagh Heights</t>
        </is>
      </c>
      <c r="D153" s="50" t="n">
        <v>22200</v>
      </c>
      <c r="E153" s="50" t="inlineStr">
        <is>
          <t>KBH</t>
        </is>
      </c>
      <c r="F153" s="50" t="inlineStr">
        <is>
          <t>Project-wide</t>
        </is>
      </c>
      <c r="G153" s="88" t="n"/>
      <c r="H153" s="88" t="n">
        <v>4900000</v>
      </c>
      <c r="I153" s="50" t="inlineStr">
        <is>
          <t>Paid by KBH for Awami Market - Cash of unit UG-06, Arbab Zubair Khan, CRV-10013, taken by Syed Yousaf Shah - KBH ref JV-939</t>
        </is>
      </c>
      <c r="J153" t="inlineStr">
        <is>
          <t>16-Sep</t>
        </is>
      </c>
    </row>
    <row r="154">
      <c r="A154" s="50" t="inlineStr">
        <is>
          <t>JV-0064</t>
        </is>
      </c>
      <c r="B154" s="87" t="n">
        <v>46258</v>
      </c>
      <c r="C154" s="50" t="inlineStr">
        <is>
          <t>Cost of Sales:Project Development Cost:Regulatory &amp; Facilitation</t>
        </is>
      </c>
      <c r="D154" s="50" t="n">
        <v>53500</v>
      </c>
      <c r="E154" s="50" t="inlineStr">
        <is>
          <t>Waqar Ahmad</t>
        </is>
      </c>
      <c r="F154" s="50" t="inlineStr">
        <is>
          <t>Project-wide</t>
        </is>
      </c>
      <c r="G154" s="88" t="n">
        <v>20000</v>
      </c>
      <c r="H154" s="88" t="n"/>
      <c r="I154" s="50" t="inlineStr">
        <is>
          <t>Speed money to Waqar Ahmed for Karkhano, deducted from Syed Yousaf Shah loan - KBH ref JV-942</t>
        </is>
      </c>
      <c r="J154" t="inlineStr">
        <is>
          <t>16-Sep</t>
        </is>
      </c>
    </row>
    <row r="155">
      <c r="A155" s="50" t="inlineStr">
        <is>
          <t>JV-0064</t>
        </is>
      </c>
      <c r="B155" s="87" t="n">
        <v>46258</v>
      </c>
      <c r="C155" s="50" t="inlineStr">
        <is>
          <t>Due to / from Group Companies:KBH - Khushal Bagh Heights</t>
        </is>
      </c>
      <c r="D155" s="50" t="n">
        <v>22200</v>
      </c>
      <c r="E155" s="50" t="inlineStr">
        <is>
          <t>KBH</t>
        </is>
      </c>
      <c r="F155" s="50" t="inlineStr">
        <is>
          <t>Project-wide</t>
        </is>
      </c>
      <c r="G155" s="88" t="n"/>
      <c r="H155" s="88" t="n">
        <v>20000</v>
      </c>
      <c r="I155" s="50" t="inlineStr">
        <is>
          <t>Paid by KBH for Awami Market - Speed money to Waqar Ahmed for Karkhano, deducted from Syed Yousaf Shah loan - KBH ref JV-942</t>
        </is>
      </c>
      <c r="J155" t="inlineStr">
        <is>
          <t>16-Sep</t>
        </is>
      </c>
    </row>
    <row r="156">
      <c r="F156" s="89" t="inlineStr">
        <is>
          <t>Total</t>
        </is>
      </c>
      <c r="G156" s="89">
        <f>SUM(G2:G155)</f>
        <v/>
      </c>
      <c r="H156" s="89">
        <f>SUM(H2:H155)</f>
        <v/>
      </c>
    </row>
  </sheetData>
  <autoFilter ref="A1:I1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4" customWidth="1" min="3" max="3"/>
    <col width="30" customWidth="1" min="4" max="4"/>
    <col width="40" customWidth="1" min="5" max="5"/>
    <col width="13" customWidth="1" min="6" max="6"/>
    <col width="13" customWidth="1" min="7" max="7"/>
    <col width="8" customWidth="1" min="8" max="8"/>
  </cols>
  <sheetData>
    <row r="1">
      <c r="A1" s="49" t="inlineStr">
        <is>
          <t>Code</t>
        </is>
      </c>
      <c r="B1" s="49" t="inlineStr">
        <is>
          <t>Head name</t>
        </is>
      </c>
      <c r="C1" s="49" t="inlineStr">
        <is>
          <t>QB type</t>
        </is>
      </c>
      <c r="D1" s="49" t="inlineStr">
        <is>
          <t>Parent</t>
        </is>
      </c>
      <c r="E1" s="49" t="inlineStr">
        <is>
          <t>Pick label</t>
        </is>
      </c>
      <c r="F1" s="49" t="inlineStr">
        <is>
          <t>Received</t>
        </is>
      </c>
      <c r="G1" s="49" t="inlineStr">
        <is>
          <t>Paid</t>
        </is>
      </c>
      <c r="H1" s="49" t="inlineStr">
        <is>
          <t>Used #</t>
        </is>
      </c>
    </row>
    <row r="2">
      <c r="A2" t="n">
        <v>12100</v>
      </c>
      <c r="B2" t="inlineStr">
        <is>
          <t>Supplier &amp; Contractor Advances</t>
        </is>
      </c>
      <c r="C2" t="inlineStr">
        <is>
          <t>Other Current Asset</t>
        </is>
      </c>
      <c r="D2" t="inlineStr">
        <is>
          <t>Current Assets</t>
        </is>
      </c>
      <c r="E2">
        <f>IF(A2="","",A2&amp;" · "&amp;B2)</f>
        <v/>
      </c>
      <c r="F2">
        <f>IF(A2="","",SUMIFS('17-Sep'!$H$19:$H$26,'17-Sep'!$K$19:$K$26,A2))</f>
        <v/>
      </c>
      <c r="G2">
        <f>IF(A2="","",SUMIFS('17-Sep'!$H$32:$H$41,'17-Sep'!$K$32:$K$41,A2))</f>
        <v/>
      </c>
    </row>
    <row r="3">
      <c r="A3" t="n">
        <v>12200</v>
      </c>
      <c r="B3" t="inlineStr">
        <is>
          <t>Staff Advances</t>
        </is>
      </c>
      <c r="C3" t="inlineStr">
        <is>
          <t>Other Current Asset</t>
        </is>
      </c>
      <c r="D3" t="inlineStr">
        <is>
          <t>Current Assets</t>
        </is>
      </c>
      <c r="E3">
        <f>IF(A3="","",A3&amp;" · "&amp;B3)</f>
        <v/>
      </c>
      <c r="F3">
        <f>IF(A3="","",SUMIFS('17-Sep'!$H$19:$H$26,'17-Sep'!$K$19:$K$26,A3))</f>
        <v/>
      </c>
      <c r="G3">
        <f>IF(A3="","",SUMIFS('17-Sep'!$H$32:$H$41,'17-Sep'!$K$32:$K$41,A3))</f>
        <v/>
      </c>
    </row>
    <row r="4">
      <c r="A4" t="n">
        <v>12300</v>
      </c>
      <c r="B4" t="inlineStr">
        <is>
          <t>PDC Receivable</t>
        </is>
      </c>
      <c r="C4" t="inlineStr">
        <is>
          <t>Other Current Asset</t>
        </is>
      </c>
      <c r="D4" t="inlineStr">
        <is>
          <t>Current Assets</t>
        </is>
      </c>
      <c r="E4">
        <f>IF(A4="","",A4&amp;" · "&amp;B4)</f>
        <v/>
      </c>
      <c r="F4">
        <f>IF(A4="","",SUMIFS('17-Sep'!$H$19:$H$26,'17-Sep'!$K$19:$K$26,A4))</f>
        <v/>
      </c>
      <c r="G4">
        <f>IF(A4="","",SUMIFS('17-Sep'!$H$32:$H$41,'17-Sep'!$K$32:$K$41,A4))</f>
        <v/>
      </c>
    </row>
    <row r="5">
      <c r="A5" t="n">
        <v>12400</v>
      </c>
      <c r="B5" t="inlineStr">
        <is>
          <t>Prepaid Expenses</t>
        </is>
      </c>
      <c r="C5" t="inlineStr">
        <is>
          <t>Other Current Asset</t>
        </is>
      </c>
      <c r="D5" t="inlineStr">
        <is>
          <t>Current Assets</t>
        </is>
      </c>
      <c r="E5">
        <f>IF(A5="","",A5&amp;" · "&amp;B5)</f>
        <v/>
      </c>
      <c r="F5">
        <f>IF(A5="","",SUMIFS('17-Sep'!$H$19:$H$26,'17-Sep'!$K$19:$K$26,A5))</f>
        <v/>
      </c>
      <c r="G5">
        <f>IF(A5="","",SUMIFS('17-Sep'!$H$32:$H$41,'17-Sep'!$K$32:$K$41,A5))</f>
        <v/>
      </c>
    </row>
    <row r="6">
      <c r="A6" t="n">
        <v>12500</v>
      </c>
      <c r="B6" t="inlineStr">
        <is>
          <t>Security Deposits</t>
        </is>
      </c>
      <c r="C6" t="inlineStr">
        <is>
          <t>Other Current Asset</t>
        </is>
      </c>
      <c r="D6" t="inlineStr">
        <is>
          <t>Current Assets</t>
        </is>
      </c>
      <c r="E6">
        <f>IF(A6="","",A6&amp;" · "&amp;B6)</f>
        <v/>
      </c>
      <c r="F6">
        <f>IF(A6="","",SUMIFS('17-Sep'!$H$19:$H$26,'17-Sep'!$K$19:$K$26,A6))</f>
        <v/>
      </c>
      <c r="G6">
        <f>IF(A6="","",SUMIFS('17-Sep'!$H$32:$H$41,'17-Sep'!$K$32:$K$41,A6))</f>
        <v/>
      </c>
    </row>
    <row r="7">
      <c r="A7" t="n">
        <v>12610</v>
      </c>
      <c r="B7" t="inlineStr">
        <is>
          <t>Syed Yousaf Shah</t>
        </is>
      </c>
      <c r="C7" t="inlineStr">
        <is>
          <t>Other Current Asset</t>
        </is>
      </c>
      <c r="D7" t="inlineStr">
        <is>
          <t>Due from Directors</t>
        </is>
      </c>
      <c r="E7">
        <f>IF(A7="","",A7&amp;" · "&amp;B7)</f>
        <v/>
      </c>
      <c r="F7">
        <f>IF(A7="","",SUMIFS('17-Sep'!$H$19:$H$26,'17-Sep'!$K$19:$K$26,A7))</f>
        <v/>
      </c>
      <c r="G7">
        <f>IF(A7="","",SUMIFS('17-Sep'!$H$32:$H$41,'17-Sep'!$K$32:$K$41,A7))</f>
        <v/>
      </c>
    </row>
    <row r="8">
      <c r="A8" t="n">
        <v>12620</v>
      </c>
      <c r="B8" t="inlineStr">
        <is>
          <t>Naeem Hussain</t>
        </is>
      </c>
      <c r="C8" t="inlineStr">
        <is>
          <t>Other Current Asset</t>
        </is>
      </c>
      <c r="D8" t="inlineStr">
        <is>
          <t>Due from Directors</t>
        </is>
      </c>
      <c r="E8">
        <f>IF(A8="","",A8&amp;" · "&amp;B8)</f>
        <v/>
      </c>
      <c r="F8">
        <f>IF(A8="","",SUMIFS('17-Sep'!$H$19:$H$26,'17-Sep'!$K$19:$K$26,A8))</f>
        <v/>
      </c>
      <c r="G8">
        <f>IF(A8="","",SUMIFS('17-Sep'!$H$32:$H$41,'17-Sep'!$K$32:$K$41,A8))</f>
        <v/>
      </c>
    </row>
    <row r="9">
      <c r="A9" t="n">
        <v>13100</v>
      </c>
      <c r="B9" t="inlineStr">
        <is>
          <t>Unsold Units - Shops</t>
        </is>
      </c>
      <c r="C9" t="inlineStr">
        <is>
          <t>Other Current Asset</t>
        </is>
      </c>
      <c r="D9" t="inlineStr">
        <is>
          <t>Project Inventory</t>
        </is>
      </c>
      <c r="E9">
        <f>IF(A9="","",A9&amp;" · "&amp;B9)</f>
        <v/>
      </c>
      <c r="F9">
        <f>IF(A9="","",SUMIFS('17-Sep'!$H$19:$H$26,'17-Sep'!$K$19:$K$26,A9))</f>
        <v/>
      </c>
      <c r="G9">
        <f>IF(A9="","",SUMIFS('17-Sep'!$H$32:$H$41,'17-Sep'!$K$32:$K$41,A9))</f>
        <v/>
      </c>
    </row>
    <row r="10">
      <c r="A10" t="n">
        <v>15100</v>
      </c>
      <c r="B10" t="inlineStr">
        <is>
          <t>Furniture &amp; Fixtures</t>
        </is>
      </c>
      <c r="C10" t="inlineStr">
        <is>
          <t>Fixed Asset</t>
        </is>
      </c>
      <c r="D10" t="inlineStr">
        <is>
          <t>Fixed Assets</t>
        </is>
      </c>
      <c r="E10">
        <f>IF(A10="","",A10&amp;" · "&amp;B10)</f>
        <v/>
      </c>
      <c r="F10">
        <f>IF(A10="","",SUMIFS('17-Sep'!$H$19:$H$26,'17-Sep'!$K$19:$K$26,A10))</f>
        <v/>
      </c>
      <c r="G10">
        <f>IF(A10="","",SUMIFS('17-Sep'!$H$32:$H$41,'17-Sep'!$K$32:$K$41,A10))</f>
        <v/>
      </c>
    </row>
    <row r="11">
      <c r="A11" t="n">
        <v>15200</v>
      </c>
      <c r="B11" t="inlineStr">
        <is>
          <t>Office Equipment</t>
        </is>
      </c>
      <c r="C11" t="inlineStr">
        <is>
          <t>Fixed Asset</t>
        </is>
      </c>
      <c r="D11" t="inlineStr">
        <is>
          <t>Fixed Assets</t>
        </is>
      </c>
      <c r="E11">
        <f>IF(A11="","",A11&amp;" · "&amp;B11)</f>
        <v/>
      </c>
      <c r="F11">
        <f>IF(A11="","",SUMIFS('17-Sep'!$H$19:$H$26,'17-Sep'!$K$19:$K$26,A11))</f>
        <v/>
      </c>
      <c r="G11">
        <f>IF(A11="","",SUMIFS('17-Sep'!$H$32:$H$41,'17-Sep'!$K$32:$K$41,A11))</f>
        <v/>
      </c>
    </row>
    <row r="12">
      <c r="A12" t="n">
        <v>15300</v>
      </c>
      <c r="B12" t="inlineStr">
        <is>
          <t>Computer &amp; IT Equipment</t>
        </is>
      </c>
      <c r="C12" t="inlineStr">
        <is>
          <t>Fixed Asset</t>
        </is>
      </c>
      <c r="D12" t="inlineStr">
        <is>
          <t>Fixed Assets</t>
        </is>
      </c>
      <c r="E12">
        <f>IF(A12="","",A12&amp;" · "&amp;B12)</f>
        <v/>
      </c>
      <c r="F12">
        <f>IF(A12="","",SUMIFS('17-Sep'!$H$19:$H$26,'17-Sep'!$K$19:$K$26,A12))</f>
        <v/>
      </c>
      <c r="G12">
        <f>IF(A12="","",SUMIFS('17-Sep'!$H$32:$H$41,'17-Sep'!$K$32:$K$41,A12))</f>
        <v/>
      </c>
    </row>
    <row r="13">
      <c r="A13" t="n">
        <v>15400</v>
      </c>
      <c r="B13" t="inlineStr">
        <is>
          <t>Vehicles</t>
        </is>
      </c>
      <c r="C13" t="inlineStr">
        <is>
          <t>Fixed Asset</t>
        </is>
      </c>
      <c r="D13" t="inlineStr">
        <is>
          <t>Fixed Assets</t>
        </is>
      </c>
      <c r="E13">
        <f>IF(A13="","",A13&amp;" · "&amp;B13)</f>
        <v/>
      </c>
      <c r="F13">
        <f>IF(A13="","",SUMIFS('17-Sep'!$H$19:$H$26,'17-Sep'!$K$19:$K$26,A13))</f>
        <v/>
      </c>
      <c r="G13">
        <f>IF(A13="","",SUMIFS('17-Sep'!$H$32:$H$41,'17-Sep'!$K$32:$K$41,A13))</f>
        <v/>
      </c>
    </row>
    <row r="14">
      <c r="A14" t="n">
        <v>15900</v>
      </c>
      <c r="B14" t="inlineStr">
        <is>
          <t>Accumulated Depreciation</t>
        </is>
      </c>
      <c r="C14" t="inlineStr">
        <is>
          <t>Fixed Asset</t>
        </is>
      </c>
      <c r="D14" t="inlineStr">
        <is>
          <t>Fixed Assets</t>
        </is>
      </c>
      <c r="E14">
        <f>IF(A14="","",A14&amp;" · "&amp;B14)</f>
        <v/>
      </c>
      <c r="F14">
        <f>IF(A14="","",SUMIFS('17-Sep'!$H$19:$H$26,'17-Sep'!$K$19:$K$26,A14))</f>
        <v/>
      </c>
      <c r="G14">
        <f>IF(A14="","",SUMIFS('17-Sep'!$H$32:$H$41,'17-Sep'!$K$32:$K$41,A14))</f>
        <v/>
      </c>
    </row>
    <row r="15">
      <c r="A15" t="n">
        <v>16100</v>
      </c>
      <c r="B15" t="inlineStr">
        <is>
          <t>Software &amp; Licences</t>
        </is>
      </c>
      <c r="C15" t="inlineStr">
        <is>
          <t>Other Asset</t>
        </is>
      </c>
      <c r="D15" t="inlineStr">
        <is>
          <t>Other Assets</t>
        </is>
      </c>
      <c r="E15">
        <f>IF(A15="","",A15&amp;" · "&amp;B15)</f>
        <v/>
      </c>
      <c r="F15">
        <f>IF(A15="","",SUMIFS('17-Sep'!$H$19:$H$26,'17-Sep'!$K$19:$K$26,A15))</f>
        <v/>
      </c>
      <c r="G15">
        <f>IF(A15="","",SUMIFS('17-Sep'!$H$32:$H$41,'17-Sep'!$K$32:$K$41,A15))</f>
        <v/>
      </c>
    </row>
    <row r="16">
      <c r="A16" t="n">
        <v>21100</v>
      </c>
      <c r="B16" t="inlineStr">
        <is>
          <t>Token Money - Units</t>
        </is>
      </c>
      <c r="C16" t="inlineStr">
        <is>
          <t>Other Current Liability</t>
        </is>
      </c>
      <c r="D16" t="inlineStr">
        <is>
          <t>Customer Advances</t>
        </is>
      </c>
      <c r="E16">
        <f>IF(A16="","",A16&amp;" · "&amp;B16)</f>
        <v/>
      </c>
      <c r="F16">
        <f>IF(A16="","",SUMIFS('17-Sep'!$H$19:$H$26,'17-Sep'!$K$19:$K$26,A16))</f>
        <v/>
      </c>
      <c r="G16">
        <f>IF(A16="","",SUMIFS('17-Sep'!$H$32:$H$41,'17-Sep'!$K$32:$K$41,A16))</f>
        <v/>
      </c>
    </row>
    <row r="17">
      <c r="A17" t="n">
        <v>21200</v>
      </c>
      <c r="B17" t="inlineStr">
        <is>
          <t>Advance - Advertising Units</t>
        </is>
      </c>
      <c r="C17" t="inlineStr">
        <is>
          <t>Other Current Liability</t>
        </is>
      </c>
      <c r="D17" t="inlineStr">
        <is>
          <t>Customer Advances</t>
        </is>
      </c>
      <c r="E17">
        <f>IF(A17="","",A17&amp;" · "&amp;B17)</f>
        <v/>
      </c>
      <c r="F17">
        <f>IF(A17="","",SUMIFS('17-Sep'!$H$19:$H$26,'17-Sep'!$K$19:$K$26,A17))</f>
        <v/>
      </c>
      <c r="G17">
        <f>IF(A17="","",SUMIFS('17-Sep'!$H$32:$H$41,'17-Sep'!$K$32:$K$41,A17))</f>
        <v/>
      </c>
    </row>
    <row r="18">
      <c r="A18" t="n">
        <v>21300</v>
      </c>
      <c r="B18" t="inlineStr">
        <is>
          <t>Refunds Payable to Customers</t>
        </is>
      </c>
      <c r="C18" t="inlineStr">
        <is>
          <t>Other Current Liability</t>
        </is>
      </c>
      <c r="D18" t="inlineStr">
        <is>
          <t>Customer Advances</t>
        </is>
      </c>
      <c r="E18">
        <f>IF(A18="","",A18&amp;" · "&amp;B18)</f>
        <v/>
      </c>
      <c r="F18">
        <f>IF(A18="","",SUMIFS('17-Sep'!$H$19:$H$26,'17-Sep'!$K$19:$K$26,A18))</f>
        <v/>
      </c>
      <c r="G18">
        <f>IF(A18="","",SUMIFS('17-Sep'!$H$32:$H$41,'17-Sep'!$K$32:$K$41,A18))</f>
        <v/>
      </c>
    </row>
    <row r="19">
      <c r="A19" t="n">
        <v>22100</v>
      </c>
      <c r="B19" t="inlineStr">
        <is>
          <t>FMH - Fourteen Manzil Heights</t>
        </is>
      </c>
      <c r="C19" t="inlineStr">
        <is>
          <t>Other Current Liability</t>
        </is>
      </c>
      <c r="D19" t="inlineStr">
        <is>
          <t>Due to / from Group Companies</t>
        </is>
      </c>
      <c r="E19">
        <f>IF(A19="","",A19&amp;" · "&amp;B19)</f>
        <v/>
      </c>
      <c r="F19">
        <f>IF(A19="","",SUMIFS('17-Sep'!$H$19:$H$26,'17-Sep'!$K$19:$K$26,A19))</f>
        <v/>
      </c>
      <c r="G19">
        <f>IF(A19="","",SUMIFS('17-Sep'!$H$32:$H$41,'17-Sep'!$K$32:$K$41,A19))</f>
        <v/>
      </c>
    </row>
    <row r="20">
      <c r="A20" t="n">
        <v>22200</v>
      </c>
      <c r="B20" t="inlineStr">
        <is>
          <t>KBH - Khushal Bagh Heights</t>
        </is>
      </c>
      <c r="C20" t="inlineStr">
        <is>
          <t>Other Current Liability</t>
        </is>
      </c>
      <c r="D20" t="inlineStr">
        <is>
          <t>Due to / from Group Companies</t>
        </is>
      </c>
      <c r="E20">
        <f>IF(A20="","",A20&amp;" · "&amp;B20)</f>
        <v/>
      </c>
      <c r="F20">
        <f>IF(A20="","",SUMIFS('17-Sep'!$H$19:$H$26,'17-Sep'!$K$19:$K$26,A20))</f>
        <v/>
      </c>
      <c r="G20">
        <f>IF(A20="","",SUMIFS('17-Sep'!$H$32:$H$41,'17-Sep'!$K$32:$K$41,A20))</f>
        <v/>
      </c>
    </row>
    <row r="21">
      <c r="A21" t="n">
        <v>22300</v>
      </c>
      <c r="B21" t="inlineStr">
        <is>
          <t>14 Development - BAHL</t>
        </is>
      </c>
      <c r="C21" t="inlineStr">
        <is>
          <t>Other Current Liability</t>
        </is>
      </c>
      <c r="D21" t="inlineStr">
        <is>
          <t>Due to / from Group Companies</t>
        </is>
      </c>
      <c r="E21">
        <f>IF(A21="","",A21&amp;" · "&amp;B21)</f>
        <v/>
      </c>
      <c r="F21">
        <f>IF(A21="","",SUMIFS('17-Sep'!$H$19:$H$26,'17-Sep'!$K$19:$K$26,A21))</f>
        <v/>
      </c>
      <c r="G21">
        <f>IF(A21="","",SUMIFS('17-Sep'!$H$32:$H$41,'17-Sep'!$K$32:$K$41,A21))</f>
        <v/>
      </c>
    </row>
    <row r="22">
      <c r="A22" t="n">
        <v>22400</v>
      </c>
      <c r="B22" t="inlineStr">
        <is>
          <t>Fourteen Group - Head Office</t>
        </is>
      </c>
      <c r="C22" t="inlineStr">
        <is>
          <t>Other Current Liability</t>
        </is>
      </c>
      <c r="D22" t="inlineStr">
        <is>
          <t>Due to / from Group Companies</t>
        </is>
      </c>
      <c r="E22">
        <f>IF(A22="","",A22&amp;" · "&amp;B22)</f>
        <v/>
      </c>
      <c r="F22">
        <f>IF(A22="","",SUMIFS('17-Sep'!$H$19:$H$26,'17-Sep'!$K$19:$K$26,A22))</f>
        <v/>
      </c>
      <c r="G22">
        <f>IF(A22="","",SUMIFS('17-Sep'!$H$32:$H$41,'17-Sep'!$K$32:$K$41,A22))</f>
        <v/>
      </c>
    </row>
    <row r="23">
      <c r="A23" t="n">
        <v>23100</v>
      </c>
      <c r="B23" t="inlineStr">
        <is>
          <t>Salaries Payable</t>
        </is>
      </c>
      <c r="C23" t="inlineStr">
        <is>
          <t>Other Current Liability</t>
        </is>
      </c>
      <c r="D23" t="inlineStr">
        <is>
          <t>Accrued &amp; Other Payables</t>
        </is>
      </c>
      <c r="E23">
        <f>IF(A23="","",A23&amp;" · "&amp;B23)</f>
        <v/>
      </c>
      <c r="F23">
        <f>IF(A23="","",SUMIFS('17-Sep'!$H$19:$H$26,'17-Sep'!$K$19:$K$26,A23))</f>
        <v/>
      </c>
      <c r="G23">
        <f>IF(A23="","",SUMIFS('17-Sep'!$H$32:$H$41,'17-Sep'!$K$32:$K$41,A23))</f>
        <v/>
      </c>
    </row>
    <row r="24">
      <c r="A24" t="n">
        <v>23200</v>
      </c>
      <c r="B24" t="inlineStr">
        <is>
          <t>Dealer Commission Payable</t>
        </is>
      </c>
      <c r="C24" t="inlineStr">
        <is>
          <t>Other Current Liability</t>
        </is>
      </c>
      <c r="D24" t="inlineStr">
        <is>
          <t>Accrued &amp; Other Payables</t>
        </is>
      </c>
      <c r="E24">
        <f>IF(A24="","",A24&amp;" · "&amp;B24)</f>
        <v/>
      </c>
      <c r="F24">
        <f>IF(A24="","",SUMIFS('17-Sep'!$H$19:$H$26,'17-Sep'!$K$19:$K$26,A24))</f>
        <v/>
      </c>
      <c r="G24">
        <f>IF(A24="","",SUMIFS('17-Sep'!$H$32:$H$41,'17-Sep'!$K$32:$K$41,A24))</f>
        <v/>
      </c>
    </row>
    <row r="25">
      <c r="A25" t="n">
        <v>23300</v>
      </c>
      <c r="B25" t="inlineStr">
        <is>
          <t>Accrued Expenses</t>
        </is>
      </c>
      <c r="C25" t="inlineStr">
        <is>
          <t>Other Current Liability</t>
        </is>
      </c>
      <c r="D25" t="inlineStr">
        <is>
          <t>Accrued &amp; Other Payables</t>
        </is>
      </c>
      <c r="E25">
        <f>IF(A25="","",A25&amp;" · "&amp;B25)</f>
        <v/>
      </c>
      <c r="F25">
        <f>IF(A25="","",SUMIFS('17-Sep'!$H$19:$H$26,'17-Sep'!$K$19:$K$26,A25))</f>
        <v/>
      </c>
      <c r="G25">
        <f>IF(A25="","",SUMIFS('17-Sep'!$H$32:$H$41,'17-Sep'!$K$32:$K$41,A25))</f>
        <v/>
      </c>
    </row>
    <row r="26">
      <c r="A26" t="n">
        <v>23400</v>
      </c>
      <c r="B26" t="inlineStr">
        <is>
          <t>PDC Payable</t>
        </is>
      </c>
      <c r="C26" t="inlineStr">
        <is>
          <t>Other Current Liability</t>
        </is>
      </c>
      <c r="D26" t="inlineStr">
        <is>
          <t>Accrued &amp; Other Payables</t>
        </is>
      </c>
      <c r="E26">
        <f>IF(A26="","",A26&amp;" · "&amp;B26)</f>
        <v/>
      </c>
      <c r="F26">
        <f>IF(A26="","",SUMIFS('17-Sep'!$H$19:$H$26,'17-Sep'!$K$19:$K$26,A26))</f>
        <v/>
      </c>
      <c r="G26">
        <f>IF(A26="","",SUMIFS('17-Sep'!$H$32:$H$41,'17-Sep'!$K$32:$K$41,A26))</f>
        <v/>
      </c>
    </row>
    <row r="27">
      <c r="A27" t="n">
        <v>24510</v>
      </c>
      <c r="B27" t="inlineStr">
        <is>
          <t>KPRA Sales Tax on Services</t>
        </is>
      </c>
      <c r="C27" t="inlineStr">
        <is>
          <t>Other Current Liability</t>
        </is>
      </c>
      <c r="D27" t="inlineStr">
        <is>
          <t>Taxes Payable</t>
        </is>
      </c>
      <c r="E27">
        <f>IF(A27="","",A27&amp;" · "&amp;B27)</f>
        <v/>
      </c>
      <c r="F27">
        <f>IF(A27="","",SUMIFS('17-Sep'!$H$19:$H$26,'17-Sep'!$K$19:$K$26,A27))</f>
        <v/>
      </c>
      <c r="G27">
        <f>IF(A27="","",SUMIFS('17-Sep'!$H$32:$H$41,'17-Sep'!$K$32:$K$41,A27))</f>
        <v/>
      </c>
    </row>
    <row r="28">
      <c r="A28" t="n">
        <v>24520</v>
      </c>
      <c r="B28" t="inlineStr">
        <is>
          <t>Withholding Tax Payable</t>
        </is>
      </c>
      <c r="C28" t="inlineStr">
        <is>
          <t>Other Current Liability</t>
        </is>
      </c>
      <c r="D28" t="inlineStr">
        <is>
          <t>Taxes Payable</t>
        </is>
      </c>
      <c r="E28">
        <f>IF(A28="","",A28&amp;" · "&amp;B28)</f>
        <v/>
      </c>
      <c r="F28">
        <f>IF(A28="","",SUMIFS('17-Sep'!$H$19:$H$26,'17-Sep'!$K$19:$K$26,A28))</f>
        <v/>
      </c>
      <c r="G28">
        <f>IF(A28="","",SUMIFS('17-Sep'!$H$32:$H$41,'17-Sep'!$K$32:$K$41,A28))</f>
        <v/>
      </c>
    </row>
    <row r="29">
      <c r="A29" t="n">
        <v>24530</v>
      </c>
      <c r="B29" t="inlineStr">
        <is>
          <t>Income Tax Payable</t>
        </is>
      </c>
      <c r="C29" t="inlineStr">
        <is>
          <t>Other Current Liability</t>
        </is>
      </c>
      <c r="D29" t="inlineStr">
        <is>
          <t>Taxes Payable</t>
        </is>
      </c>
      <c r="E29">
        <f>IF(A29="","",A29&amp;" · "&amp;B29)</f>
        <v/>
      </c>
      <c r="F29">
        <f>IF(A29="","",SUMIFS('17-Sep'!$H$19:$H$26,'17-Sep'!$K$19:$K$26,A29))</f>
        <v/>
      </c>
      <c r="G29">
        <f>IF(A29="","",SUMIFS('17-Sep'!$H$32:$H$41,'17-Sep'!$K$32:$K$41,A29))</f>
        <v/>
      </c>
    </row>
    <row r="30">
      <c r="A30" t="n">
        <v>25100</v>
      </c>
      <c r="B30" t="inlineStr">
        <is>
          <t>Loan Payable - Short Term</t>
        </is>
      </c>
      <c r="C30" t="inlineStr">
        <is>
          <t>Other Current Liability</t>
        </is>
      </c>
      <c r="D30" t="inlineStr">
        <is>
          <t>Short Term Loans</t>
        </is>
      </c>
      <c r="E30">
        <f>IF(A30="","",A30&amp;" · "&amp;B30)</f>
        <v/>
      </c>
      <c r="F30">
        <f>IF(A30="","",SUMIFS('17-Sep'!$H$19:$H$26,'17-Sep'!$K$19:$K$26,A30))</f>
        <v/>
      </c>
      <c r="G30">
        <f>IF(A30="","",SUMIFS('17-Sep'!$H$32:$H$41,'17-Sep'!$K$32:$K$41,A30))</f>
        <v/>
      </c>
    </row>
    <row r="31">
      <c r="A31" t="n">
        <v>26100</v>
      </c>
      <c r="B31" t="inlineStr">
        <is>
          <t>Loan Payable - Long Term</t>
        </is>
      </c>
      <c r="C31" t="inlineStr">
        <is>
          <t>Long Term Liability</t>
        </is>
      </c>
      <c r="D31" t="inlineStr">
        <is>
          <t>Long Term Liabilities</t>
        </is>
      </c>
      <c r="E31">
        <f>IF(A31="","",A31&amp;" · "&amp;B31)</f>
        <v/>
      </c>
      <c r="F31">
        <f>IF(A31="","",SUMIFS('17-Sep'!$H$19:$H$26,'17-Sep'!$K$19:$K$26,A31))</f>
        <v/>
      </c>
      <c r="G31">
        <f>IF(A31="","",SUMIFS('17-Sep'!$H$32:$H$41,'17-Sep'!$K$32:$K$41,A31))</f>
        <v/>
      </c>
    </row>
    <row r="32">
      <c r="A32" t="n">
        <v>26200</v>
      </c>
      <c r="B32" t="inlineStr">
        <is>
          <t>Directors &amp; Related Party Loan</t>
        </is>
      </c>
      <c r="C32" t="inlineStr">
        <is>
          <t>Long Term Liability</t>
        </is>
      </c>
      <c r="D32" t="inlineStr">
        <is>
          <t>Long Term Liabilities</t>
        </is>
      </c>
      <c r="E32">
        <f>IF(A32="","",A32&amp;" · "&amp;B32)</f>
        <v/>
      </c>
      <c r="F32">
        <f>IF(A32="","",SUMIFS('17-Sep'!$H$19:$H$26,'17-Sep'!$K$19:$K$26,A32))</f>
        <v/>
      </c>
      <c r="G32">
        <f>IF(A32="","",SUMIFS('17-Sep'!$H$32:$H$41,'17-Sep'!$K$32:$K$41,A32))</f>
        <v/>
      </c>
    </row>
    <row r="33">
      <c r="A33" t="n">
        <v>31100</v>
      </c>
      <c r="B33" t="inlineStr">
        <is>
          <t>Capital - Fourteen Group</t>
        </is>
      </c>
      <c r="C33" t="inlineStr">
        <is>
          <t>Equity</t>
        </is>
      </c>
      <c r="D33" t="inlineStr">
        <is>
          <t>Owners Equity</t>
        </is>
      </c>
      <c r="E33">
        <f>IF(A33="","",A33&amp;" · "&amp;B33)</f>
        <v/>
      </c>
      <c r="F33">
        <f>IF(A33="","",SUMIFS('17-Sep'!$H$19:$H$26,'17-Sep'!$K$19:$K$26,A33))</f>
        <v/>
      </c>
      <c r="G33">
        <f>IF(A33="","",SUMIFS('17-Sep'!$H$32:$H$41,'17-Sep'!$K$32:$K$41,A33))</f>
        <v/>
      </c>
    </row>
    <row r="34">
      <c r="A34" t="n">
        <v>31200</v>
      </c>
      <c r="B34" t="inlineStr">
        <is>
          <t>Drawings</t>
        </is>
      </c>
      <c r="C34" t="inlineStr">
        <is>
          <t>Equity</t>
        </is>
      </c>
      <c r="D34" t="inlineStr">
        <is>
          <t>Owners Equity</t>
        </is>
      </c>
      <c r="E34">
        <f>IF(A34="","",A34&amp;" · "&amp;B34)</f>
        <v/>
      </c>
      <c r="F34">
        <f>IF(A34="","",SUMIFS('17-Sep'!$H$19:$H$26,'17-Sep'!$K$19:$K$26,A34))</f>
        <v/>
      </c>
      <c r="G34">
        <f>IF(A34="","",SUMIFS('17-Sep'!$H$32:$H$41,'17-Sep'!$K$32:$K$41,A34))</f>
        <v/>
      </c>
    </row>
    <row r="35">
      <c r="A35" t="n">
        <v>40100</v>
      </c>
      <c r="B35" t="inlineStr">
        <is>
          <t>Unit &amp; Shop Sales</t>
        </is>
      </c>
      <c r="C35" t="inlineStr">
        <is>
          <t>Income</t>
        </is>
      </c>
      <c r="D35" t="inlineStr">
        <is>
          <t>Revenue</t>
        </is>
      </c>
      <c r="E35">
        <f>IF(A35="","",A35&amp;" · "&amp;B35)</f>
        <v/>
      </c>
      <c r="F35">
        <f>IF(A35="","",SUMIFS('17-Sep'!$H$19:$H$26,'17-Sep'!$K$19:$K$26,A35))</f>
        <v/>
      </c>
      <c r="G35">
        <f>IF(A35="","",SUMIFS('17-Sep'!$H$32:$H$41,'17-Sep'!$K$32:$K$41,A35))</f>
        <v/>
      </c>
    </row>
    <row r="36">
      <c r="A36" t="n">
        <v>40200</v>
      </c>
      <c r="B36" t="inlineStr">
        <is>
          <t>Advertising Unit Income</t>
        </is>
      </c>
      <c r="C36" t="inlineStr">
        <is>
          <t>Income</t>
        </is>
      </c>
      <c r="D36" t="inlineStr">
        <is>
          <t>Revenue</t>
        </is>
      </c>
      <c r="E36">
        <f>IF(A36="","",A36&amp;" · "&amp;B36)</f>
        <v/>
      </c>
      <c r="F36">
        <f>IF(A36="","",SUMIFS('17-Sep'!$H$19:$H$26,'17-Sep'!$K$19:$K$26,A36))</f>
        <v/>
      </c>
      <c r="G36">
        <f>IF(A36="","",SUMIFS('17-Sep'!$H$32:$H$41,'17-Sep'!$K$32:$K$41,A36))</f>
        <v/>
      </c>
    </row>
    <row r="37">
      <c r="A37" t="n">
        <v>40300</v>
      </c>
      <c r="B37" t="inlineStr">
        <is>
          <t>Transfer &amp; Processing Fee</t>
        </is>
      </c>
      <c r="C37" t="inlineStr">
        <is>
          <t>Income</t>
        </is>
      </c>
      <c r="D37" t="inlineStr">
        <is>
          <t>Revenue</t>
        </is>
      </c>
      <c r="E37">
        <f>IF(A37="","",A37&amp;" · "&amp;B37)</f>
        <v/>
      </c>
      <c r="F37">
        <f>IF(A37="","",SUMIFS('17-Sep'!$H$19:$H$26,'17-Sep'!$K$19:$K$26,A37))</f>
        <v/>
      </c>
      <c r="G37">
        <f>IF(A37="","",SUMIFS('17-Sep'!$H$32:$H$41,'17-Sep'!$K$32:$K$41,A37))</f>
        <v/>
      </c>
    </row>
    <row r="38">
      <c r="A38" t="n">
        <v>40400</v>
      </c>
      <c r="B38" t="inlineStr">
        <is>
          <t>Forfeited Token Income</t>
        </is>
      </c>
      <c r="C38" t="inlineStr">
        <is>
          <t>Income</t>
        </is>
      </c>
      <c r="D38" t="inlineStr">
        <is>
          <t>Revenue</t>
        </is>
      </c>
      <c r="E38">
        <f>IF(A38="","",A38&amp;" · "&amp;B38)</f>
        <v/>
      </c>
      <c r="F38">
        <f>IF(A38="","",SUMIFS('17-Sep'!$H$19:$H$26,'17-Sep'!$K$19:$K$26,A38))</f>
        <v/>
      </c>
      <c r="G38">
        <f>IF(A38="","",SUMIFS('17-Sep'!$H$32:$H$41,'17-Sep'!$K$32:$K$41,A38))</f>
        <v/>
      </c>
    </row>
    <row r="39">
      <c r="A39" t="n">
        <v>40900</v>
      </c>
      <c r="B39" t="inlineStr">
        <is>
          <t>Other Income</t>
        </is>
      </c>
      <c r="C39" t="inlineStr">
        <is>
          <t>Income</t>
        </is>
      </c>
      <c r="D39" t="inlineStr">
        <is>
          <t>Revenue</t>
        </is>
      </c>
      <c r="E39">
        <f>IF(A39="","",A39&amp;" · "&amp;B39)</f>
        <v/>
      </c>
      <c r="F39">
        <f>IF(A39="","",SUMIFS('17-Sep'!$H$19:$H$26,'17-Sep'!$K$19:$K$26,A39))</f>
        <v/>
      </c>
      <c r="G39">
        <f>IF(A39="","",SUMIFS('17-Sep'!$H$32:$H$41,'17-Sep'!$K$32:$K$41,A39))</f>
        <v/>
      </c>
    </row>
    <row r="40">
      <c r="A40" t="n">
        <v>51100</v>
      </c>
      <c r="B40" t="inlineStr">
        <is>
          <t>Land Purchase Cost</t>
        </is>
      </c>
      <c r="C40" t="inlineStr">
        <is>
          <t>Cost of Goods Sold</t>
        </is>
      </c>
      <c r="D40" t="inlineStr">
        <is>
          <t>Land Cost</t>
        </is>
      </c>
      <c r="E40">
        <f>IF(A40="","",A40&amp;" · "&amp;B40)</f>
        <v/>
      </c>
      <c r="F40">
        <f>IF(A40="","",SUMIFS('17-Sep'!$H$19:$H$26,'17-Sep'!$K$19:$K$26,A40))</f>
        <v/>
      </c>
      <c r="G40">
        <f>IF(A40="","",SUMIFS('17-Sep'!$H$32:$H$41,'17-Sep'!$K$32:$K$41,A40))</f>
        <v/>
      </c>
    </row>
    <row r="41">
      <c r="A41" t="n">
        <v>51200</v>
      </c>
      <c r="B41" t="inlineStr">
        <is>
          <t>Registration, Stamp &amp; Mutation</t>
        </is>
      </c>
      <c r="C41" t="inlineStr">
        <is>
          <t>Cost of Goods Sold</t>
        </is>
      </c>
      <c r="D41" t="inlineStr">
        <is>
          <t>Land Cost</t>
        </is>
      </c>
      <c r="E41">
        <f>IF(A41="","",A41&amp;" · "&amp;B41)</f>
        <v/>
      </c>
      <c r="F41">
        <f>IF(A41="","",SUMIFS('17-Sep'!$H$19:$H$26,'17-Sep'!$K$19:$K$26,A41))</f>
        <v/>
      </c>
      <c r="G41">
        <f>IF(A41="","",SUMIFS('17-Sep'!$H$32:$H$41,'17-Sep'!$K$32:$K$41,A41))</f>
        <v/>
      </c>
    </row>
    <row r="42">
      <c r="A42" t="n">
        <v>52100</v>
      </c>
      <c r="B42" t="inlineStr">
        <is>
          <t>Steel</t>
        </is>
      </c>
      <c r="C42" t="inlineStr">
        <is>
          <t>Cost of Goods Sold</t>
        </is>
      </c>
      <c r="D42" t="inlineStr">
        <is>
          <t>Construction Cost</t>
        </is>
      </c>
      <c r="E42">
        <f>IF(A42="","",A42&amp;" · "&amp;B42)</f>
        <v/>
      </c>
      <c r="F42">
        <f>IF(A42="","",SUMIFS('17-Sep'!$H$19:$H$26,'17-Sep'!$K$19:$K$26,A42))</f>
        <v/>
      </c>
      <c r="G42">
        <f>IF(A42="","",SUMIFS('17-Sep'!$H$32:$H$41,'17-Sep'!$K$32:$K$41,A42))</f>
        <v/>
      </c>
    </row>
    <row r="43">
      <c r="A43" t="n">
        <v>52200</v>
      </c>
      <c r="B43" t="inlineStr">
        <is>
          <t>Cement</t>
        </is>
      </c>
      <c r="C43" t="inlineStr">
        <is>
          <t>Cost of Goods Sold</t>
        </is>
      </c>
      <c r="D43" t="inlineStr">
        <is>
          <t>Construction Cost</t>
        </is>
      </c>
      <c r="E43">
        <f>IF(A43="","",A43&amp;" · "&amp;B43)</f>
        <v/>
      </c>
      <c r="F43">
        <f>IF(A43="","",SUMIFS('17-Sep'!$H$19:$H$26,'17-Sep'!$K$19:$K$26,A43))</f>
        <v/>
      </c>
      <c r="G43">
        <f>IF(A43="","",SUMIFS('17-Sep'!$H$32:$H$41,'17-Sep'!$K$32:$K$41,A43))</f>
        <v/>
      </c>
    </row>
    <row r="44">
      <c r="A44" t="n">
        <v>52300</v>
      </c>
      <c r="B44" t="inlineStr">
        <is>
          <t>Crush &amp; Sand</t>
        </is>
      </c>
      <c r="C44" t="inlineStr">
        <is>
          <t>Cost of Goods Sold</t>
        </is>
      </c>
      <c r="D44" t="inlineStr">
        <is>
          <t>Construction Cost</t>
        </is>
      </c>
      <c r="E44">
        <f>IF(A44="","",A44&amp;" · "&amp;B44)</f>
        <v/>
      </c>
      <c r="F44">
        <f>IF(A44="","",SUMIFS('17-Sep'!$H$19:$H$26,'17-Sep'!$K$19:$K$26,A44))</f>
        <v/>
      </c>
      <c r="G44">
        <f>IF(A44="","",SUMIFS('17-Sep'!$H$32:$H$41,'17-Sep'!$K$32:$K$41,A44))</f>
        <v/>
      </c>
    </row>
    <row r="45">
      <c r="A45" t="n">
        <v>52400</v>
      </c>
      <c r="B45" t="inlineStr">
        <is>
          <t>Bricks &amp; Blocks</t>
        </is>
      </c>
      <c r="C45" t="inlineStr">
        <is>
          <t>Cost of Goods Sold</t>
        </is>
      </c>
      <c r="D45" t="inlineStr">
        <is>
          <t>Construction Cost</t>
        </is>
      </c>
      <c r="E45">
        <f>IF(A45="","",A45&amp;" · "&amp;B45)</f>
        <v/>
      </c>
      <c r="F45">
        <f>IF(A45="","",SUMIFS('17-Sep'!$H$19:$H$26,'17-Sep'!$K$19:$K$26,A45))</f>
        <v/>
      </c>
      <c r="G45">
        <f>IF(A45="","",SUMIFS('17-Sep'!$H$32:$H$41,'17-Sep'!$K$32:$K$41,A45))</f>
        <v/>
      </c>
    </row>
    <row r="46">
      <c r="A46" t="n">
        <v>52500</v>
      </c>
      <c r="B46" t="inlineStr">
        <is>
          <t>Other Construction Material</t>
        </is>
      </c>
      <c r="C46" t="inlineStr">
        <is>
          <t>Cost of Goods Sold</t>
        </is>
      </c>
      <c r="D46" t="inlineStr">
        <is>
          <t>Construction Cost</t>
        </is>
      </c>
      <c r="E46">
        <f>IF(A46="","",A46&amp;" · "&amp;B46)</f>
        <v/>
      </c>
      <c r="F46">
        <f>IF(A46="","",SUMIFS('17-Sep'!$H$19:$H$26,'17-Sep'!$K$19:$K$26,A46))</f>
        <v/>
      </c>
      <c r="G46">
        <f>IF(A46="","",SUMIFS('17-Sep'!$H$32:$H$41,'17-Sep'!$K$32:$K$41,A46))</f>
        <v/>
      </c>
    </row>
    <row r="47">
      <c r="A47" t="n">
        <v>52600</v>
      </c>
      <c r="B47" t="inlineStr">
        <is>
          <t>Labour</t>
        </is>
      </c>
      <c r="C47" t="inlineStr">
        <is>
          <t>Cost of Goods Sold</t>
        </is>
      </c>
      <c r="D47" t="inlineStr">
        <is>
          <t>Construction Cost</t>
        </is>
      </c>
      <c r="E47">
        <f>IF(A47="","",A47&amp;" · "&amp;B47)</f>
        <v/>
      </c>
      <c r="F47">
        <f>IF(A47="","",SUMIFS('17-Sep'!$H$19:$H$26,'17-Sep'!$K$19:$K$26,A47))</f>
        <v/>
      </c>
      <c r="G47">
        <f>IF(A47="","",SUMIFS('17-Sep'!$H$32:$H$41,'17-Sep'!$K$32:$K$41,A47))</f>
        <v/>
      </c>
    </row>
    <row r="48">
      <c r="A48" t="n">
        <v>52700</v>
      </c>
      <c r="B48" t="inlineStr">
        <is>
          <t>Contractor Payments</t>
        </is>
      </c>
      <c r="C48" t="inlineStr">
        <is>
          <t>Cost of Goods Sold</t>
        </is>
      </c>
      <c r="D48" t="inlineStr">
        <is>
          <t>Construction Cost</t>
        </is>
      </c>
      <c r="E48">
        <f>IF(A48="","",A48&amp;" · "&amp;B48)</f>
        <v/>
      </c>
      <c r="F48">
        <f>IF(A48="","",SUMIFS('17-Sep'!$H$19:$H$26,'17-Sep'!$K$19:$K$26,A48))</f>
        <v/>
      </c>
      <c r="G48">
        <f>IF(A48="","",SUMIFS('17-Sep'!$H$32:$H$41,'17-Sep'!$K$32:$K$41,A48))</f>
        <v/>
      </c>
    </row>
    <row r="49">
      <c r="A49" t="n">
        <v>52800</v>
      </c>
      <c r="B49" t="inlineStr">
        <is>
          <t>Machinery Rent &amp; Fuel</t>
        </is>
      </c>
      <c r="C49" t="inlineStr">
        <is>
          <t>Cost of Goods Sold</t>
        </is>
      </c>
      <c r="D49" t="inlineStr">
        <is>
          <t>Construction Cost</t>
        </is>
      </c>
      <c r="E49">
        <f>IF(A49="","",A49&amp;" · "&amp;B49)</f>
        <v/>
      </c>
      <c r="F49">
        <f>IF(A49="","",SUMIFS('17-Sep'!$H$19:$H$26,'17-Sep'!$K$19:$K$26,A49))</f>
        <v/>
      </c>
      <c r="G49">
        <f>IF(A49="","",SUMIFS('17-Sep'!$H$32:$H$41,'17-Sep'!$K$32:$K$41,A49))</f>
        <v/>
      </c>
    </row>
    <row r="50">
      <c r="A50" t="n">
        <v>52900</v>
      </c>
      <c r="B50" t="inlineStr">
        <is>
          <t>Site Utilities &amp; Temp Works</t>
        </is>
      </c>
      <c r="C50" t="inlineStr">
        <is>
          <t>Cost of Goods Sold</t>
        </is>
      </c>
      <c r="D50" t="inlineStr">
        <is>
          <t>Construction Cost</t>
        </is>
      </c>
      <c r="E50">
        <f>IF(A50="","",A50&amp;" · "&amp;B50)</f>
        <v/>
      </c>
      <c r="F50">
        <f>IF(A50="","",SUMIFS('17-Sep'!$H$19:$H$26,'17-Sep'!$K$19:$K$26,A50))</f>
        <v/>
      </c>
      <c r="G50">
        <f>IF(A50="","",SUMIFS('17-Sep'!$H$32:$H$41,'17-Sep'!$K$32:$K$41,A50))</f>
        <v/>
      </c>
    </row>
    <row r="51">
      <c r="A51" t="n">
        <v>53100</v>
      </c>
      <c r="B51" t="inlineStr">
        <is>
          <t>Architecture, Design &amp; Drawings</t>
        </is>
      </c>
      <c r="C51" t="inlineStr">
        <is>
          <t>Cost of Goods Sold</t>
        </is>
      </c>
      <c r="D51" t="inlineStr">
        <is>
          <t>Project Development Cost</t>
        </is>
      </c>
      <c r="E51">
        <f>IF(A51="","",A51&amp;" · "&amp;B51)</f>
        <v/>
      </c>
      <c r="F51">
        <f>IF(A51="","",SUMIFS('17-Sep'!$H$19:$H$26,'17-Sep'!$K$19:$K$26,A51))</f>
        <v/>
      </c>
      <c r="G51">
        <f>IF(A51="","",SUMIFS('17-Sep'!$H$32:$H$41,'17-Sep'!$K$32:$K$41,A51))</f>
        <v/>
      </c>
    </row>
    <row r="52">
      <c r="A52" t="n">
        <v>53200</v>
      </c>
      <c r="B52" t="inlineStr">
        <is>
          <t>Soil Testing &amp; Survey</t>
        </is>
      </c>
      <c r="C52" t="inlineStr">
        <is>
          <t>Cost of Goods Sold</t>
        </is>
      </c>
      <c r="D52" t="inlineStr">
        <is>
          <t>Project Development Cost</t>
        </is>
      </c>
      <c r="E52">
        <f>IF(A52="","",A52&amp;" · "&amp;B52)</f>
        <v/>
      </c>
      <c r="F52">
        <f>IF(A52="","",SUMIFS('17-Sep'!$H$19:$H$26,'17-Sep'!$K$19:$K$26,A52))</f>
        <v/>
      </c>
      <c r="G52">
        <f>IF(A52="","",SUMIFS('17-Sep'!$H$32:$H$41,'17-Sep'!$K$32:$K$41,A52))</f>
        <v/>
      </c>
    </row>
    <row r="53">
      <c r="A53" t="n">
        <v>53300</v>
      </c>
      <c r="B53" t="inlineStr">
        <is>
          <t>NOC &amp; Approvals</t>
        </is>
      </c>
      <c r="C53" t="inlineStr">
        <is>
          <t>Cost of Goods Sold</t>
        </is>
      </c>
      <c r="D53" t="inlineStr">
        <is>
          <t>Project Development Cost</t>
        </is>
      </c>
      <c r="E53">
        <f>IF(A53="","",A53&amp;" · "&amp;B53)</f>
        <v/>
      </c>
      <c r="F53">
        <f>IF(A53="","",SUMIFS('17-Sep'!$H$19:$H$26,'17-Sep'!$K$19:$K$26,A53))</f>
        <v/>
      </c>
      <c r="G53">
        <f>IF(A53="","",SUMIFS('17-Sep'!$H$32:$H$41,'17-Sep'!$K$32:$K$41,A53))</f>
        <v/>
      </c>
    </row>
    <row r="54">
      <c r="A54" t="n">
        <v>53400</v>
      </c>
      <c r="B54" t="inlineStr">
        <is>
          <t>Government &amp; Regulatory Fees</t>
        </is>
      </c>
      <c r="C54" t="inlineStr">
        <is>
          <t>Cost of Goods Sold</t>
        </is>
      </c>
      <c r="D54" t="inlineStr">
        <is>
          <t>Project Development Cost</t>
        </is>
      </c>
      <c r="E54">
        <f>IF(A54="","",A54&amp;" · "&amp;B54)</f>
        <v/>
      </c>
      <c r="F54">
        <f>IF(A54="","",SUMIFS('17-Sep'!$H$19:$H$26,'17-Sep'!$K$19:$K$26,A54))</f>
        <v/>
      </c>
      <c r="G54">
        <f>IF(A54="","",SUMIFS('17-Sep'!$H$32:$H$41,'17-Sep'!$K$32:$K$41,A54))</f>
        <v/>
      </c>
    </row>
    <row r="55">
      <c r="A55" t="n">
        <v>53500</v>
      </c>
      <c r="B55" t="inlineStr">
        <is>
          <t>Regulatory &amp; Facilitation</t>
        </is>
      </c>
      <c r="C55" t="inlineStr">
        <is>
          <t>Cost of Goods Sold</t>
        </is>
      </c>
      <c r="D55" t="inlineStr">
        <is>
          <t>Project Development Cost</t>
        </is>
      </c>
      <c r="E55">
        <f>IF(A55="","",A55&amp;" · "&amp;B55)</f>
        <v/>
      </c>
      <c r="F55">
        <f>IF(A55="","",SUMIFS('17-Sep'!$H$19:$H$26,'17-Sep'!$K$19:$K$26,A55))</f>
        <v/>
      </c>
      <c r="G55">
        <f>IF(A55="","",SUMIFS('17-Sep'!$H$32:$H$41,'17-Sep'!$K$32:$K$41,A55))</f>
        <v/>
      </c>
    </row>
    <row r="56">
      <c r="A56" t="n">
        <v>53600</v>
      </c>
      <c r="B56" t="inlineStr">
        <is>
          <t>Consultancy &amp; Professional Fees</t>
        </is>
      </c>
      <c r="C56" t="inlineStr">
        <is>
          <t>Cost of Goods Sold</t>
        </is>
      </c>
      <c r="D56" t="inlineStr">
        <is>
          <t>Project Development Cost</t>
        </is>
      </c>
      <c r="E56">
        <f>IF(A56="","",A56&amp;" · "&amp;B56)</f>
        <v/>
      </c>
      <c r="F56">
        <f>IF(A56="","",SUMIFS('17-Sep'!$H$19:$H$26,'17-Sep'!$K$19:$K$26,A56))</f>
        <v/>
      </c>
      <c r="G56">
        <f>IF(A56="","",SUMIFS('17-Sep'!$H$32:$H$41,'17-Sep'!$K$32:$K$41,A56))</f>
        <v/>
      </c>
    </row>
    <row r="57">
      <c r="A57" t="n">
        <v>54100</v>
      </c>
      <c r="B57" t="inlineStr">
        <is>
          <t>Dealer &amp; Sub-dealer Commission</t>
        </is>
      </c>
      <c r="C57" t="inlineStr">
        <is>
          <t>Cost of Goods Sold</t>
        </is>
      </c>
      <c r="D57" t="inlineStr">
        <is>
          <t>Selling Cost</t>
        </is>
      </c>
      <c r="E57">
        <f>IF(A57="","",A57&amp;" · "&amp;B57)</f>
        <v/>
      </c>
      <c r="F57">
        <f>IF(A57="","",SUMIFS('17-Sep'!$H$19:$H$26,'17-Sep'!$K$19:$K$26,A57))</f>
        <v/>
      </c>
      <c r="G57">
        <f>IF(A57="","",SUMIFS('17-Sep'!$H$32:$H$41,'17-Sep'!$K$32:$K$41,A57))</f>
        <v/>
      </c>
    </row>
    <row r="58">
      <c r="A58" t="n">
        <v>60100</v>
      </c>
      <c r="B58" t="inlineStr">
        <is>
          <t>Advertising &amp; Promotion</t>
        </is>
      </c>
      <c r="C58" t="inlineStr">
        <is>
          <t>Expense</t>
        </is>
      </c>
      <c r="D58" t="inlineStr">
        <is>
          <t>Marketing &amp; Sales Expenses</t>
        </is>
      </c>
      <c r="E58">
        <f>IF(A58="","",A58&amp;" · "&amp;B58)</f>
        <v/>
      </c>
      <c r="F58">
        <f>IF(A58="","",SUMIFS('17-Sep'!$H$19:$H$26,'17-Sep'!$K$19:$K$26,A58))</f>
        <v/>
      </c>
      <c r="G58">
        <f>IF(A58="","",SUMIFS('17-Sep'!$H$32:$H$41,'17-Sep'!$K$32:$K$41,A58))</f>
        <v/>
      </c>
    </row>
    <row r="59">
      <c r="A59" t="n">
        <v>60200</v>
      </c>
      <c r="B59" t="inlineStr">
        <is>
          <t>Digital &amp; Social Media Ads</t>
        </is>
      </c>
      <c r="C59" t="inlineStr">
        <is>
          <t>Expense</t>
        </is>
      </c>
      <c r="D59" t="inlineStr">
        <is>
          <t>Marketing &amp; Sales Expenses</t>
        </is>
      </c>
      <c r="E59">
        <f>IF(A59="","",A59&amp;" · "&amp;B59)</f>
        <v/>
      </c>
      <c r="F59">
        <f>IF(A59="","",SUMIFS('17-Sep'!$H$19:$H$26,'17-Sep'!$K$19:$K$26,A59))</f>
        <v/>
      </c>
      <c r="G59">
        <f>IF(A59="","",SUMIFS('17-Sep'!$H$32:$H$41,'17-Sep'!$K$32:$K$41,A59))</f>
        <v/>
      </c>
    </row>
    <row r="60">
      <c r="A60" t="n">
        <v>60300</v>
      </c>
      <c r="B60" t="inlineStr">
        <is>
          <t>Marketing Printing &amp; Material</t>
        </is>
      </c>
      <c r="C60" t="inlineStr">
        <is>
          <t>Expense</t>
        </is>
      </c>
      <c r="D60" t="inlineStr">
        <is>
          <t>Marketing &amp; Sales Expenses</t>
        </is>
      </c>
      <c r="E60">
        <f>IF(A60="","",A60&amp;" · "&amp;B60)</f>
        <v/>
      </c>
      <c r="F60">
        <f>IF(A60="","",SUMIFS('17-Sep'!$H$19:$H$26,'17-Sep'!$K$19:$K$26,A60))</f>
        <v/>
      </c>
      <c r="G60">
        <f>IF(A60="","",SUMIFS('17-Sep'!$H$32:$H$41,'17-Sep'!$K$32:$K$41,A60))</f>
        <v/>
      </c>
    </row>
    <row r="61">
      <c r="A61" t="n">
        <v>60400</v>
      </c>
      <c r="B61" t="inlineStr">
        <is>
          <t>Events &amp; Client Entertainment</t>
        </is>
      </c>
      <c r="C61" t="inlineStr">
        <is>
          <t>Expense</t>
        </is>
      </c>
      <c r="D61" t="inlineStr">
        <is>
          <t>Marketing &amp; Sales Expenses</t>
        </is>
      </c>
      <c r="E61">
        <f>IF(A61="","",A61&amp;" · "&amp;B61)</f>
        <v/>
      </c>
      <c r="F61">
        <f>IF(A61="","",SUMIFS('17-Sep'!$H$19:$H$26,'17-Sep'!$K$19:$K$26,A61))</f>
        <v/>
      </c>
      <c r="G61">
        <f>IF(A61="","",SUMIFS('17-Sep'!$H$32:$H$41,'17-Sep'!$K$32:$K$41,A61))</f>
        <v/>
      </c>
    </row>
    <row r="62">
      <c r="A62" t="n">
        <v>60500</v>
      </c>
      <c r="B62" t="inlineStr">
        <is>
          <t>Sales Office Expense</t>
        </is>
      </c>
      <c r="C62" t="inlineStr">
        <is>
          <t>Expense</t>
        </is>
      </c>
      <c r="D62" t="inlineStr">
        <is>
          <t>Marketing &amp; Sales Expenses</t>
        </is>
      </c>
      <c r="E62">
        <f>IF(A62="","",A62&amp;" · "&amp;B62)</f>
        <v/>
      </c>
      <c r="F62">
        <f>IF(A62="","",SUMIFS('17-Sep'!$H$19:$H$26,'17-Sep'!$K$19:$K$26,A62))</f>
        <v/>
      </c>
      <c r="G62">
        <f>IF(A62="","",SUMIFS('17-Sep'!$H$32:$H$41,'17-Sep'!$K$32:$K$41,A62))</f>
        <v/>
      </c>
    </row>
    <row r="63">
      <c r="A63" t="n">
        <v>70100</v>
      </c>
      <c r="B63" t="inlineStr">
        <is>
          <t>Salaries &amp; Wages</t>
        </is>
      </c>
      <c r="C63" t="inlineStr">
        <is>
          <t>Expense</t>
        </is>
      </c>
      <c r="D63" t="inlineStr">
        <is>
          <t>Administrative Expenses</t>
        </is>
      </c>
      <c r="E63">
        <f>IF(A63="","",A63&amp;" · "&amp;B63)</f>
        <v/>
      </c>
      <c r="F63">
        <f>IF(A63="","",SUMIFS('17-Sep'!$H$19:$H$26,'17-Sep'!$K$19:$K$26,A63))</f>
        <v/>
      </c>
      <c r="G63">
        <f>IF(A63="","",SUMIFS('17-Sep'!$H$32:$H$41,'17-Sep'!$K$32:$K$41,A63))</f>
        <v/>
      </c>
    </row>
    <row r="64">
      <c r="A64" t="n">
        <v>70200</v>
      </c>
      <c r="B64" t="inlineStr">
        <is>
          <t>Security &amp; Guards</t>
        </is>
      </c>
      <c r="C64" t="inlineStr">
        <is>
          <t>Expense</t>
        </is>
      </c>
      <c r="D64" t="inlineStr">
        <is>
          <t>Administrative Expenses</t>
        </is>
      </c>
      <c r="E64">
        <f>IF(A64="","",A64&amp;" · "&amp;B64)</f>
        <v/>
      </c>
      <c r="F64">
        <f>IF(A64="","",SUMIFS('17-Sep'!$H$19:$H$26,'17-Sep'!$K$19:$K$26,A64))</f>
        <v/>
      </c>
      <c r="G64">
        <f>IF(A64="","",SUMIFS('17-Sep'!$H$32:$H$41,'17-Sep'!$K$32:$K$41,A64))</f>
        <v/>
      </c>
    </row>
    <row r="65">
      <c r="A65" t="n">
        <v>70300</v>
      </c>
      <c r="B65" t="inlineStr">
        <is>
          <t>Office Rent</t>
        </is>
      </c>
      <c r="C65" t="inlineStr">
        <is>
          <t>Expense</t>
        </is>
      </c>
      <c r="D65" t="inlineStr">
        <is>
          <t>Administrative Expenses</t>
        </is>
      </c>
      <c r="E65">
        <f>IF(A65="","",A65&amp;" · "&amp;B65)</f>
        <v/>
      </c>
      <c r="F65">
        <f>IF(A65="","",SUMIFS('17-Sep'!$H$19:$H$26,'17-Sep'!$K$19:$K$26,A65))</f>
        <v/>
      </c>
      <c r="G65">
        <f>IF(A65="","",SUMIFS('17-Sep'!$H$32:$H$41,'17-Sep'!$K$32:$K$41,A65))</f>
        <v/>
      </c>
    </row>
    <row r="66">
      <c r="A66" t="n">
        <v>70410</v>
      </c>
      <c r="B66" t="inlineStr">
        <is>
          <t>Electricity</t>
        </is>
      </c>
      <c r="C66" t="inlineStr">
        <is>
          <t>Expense</t>
        </is>
      </c>
      <c r="D66" t="inlineStr">
        <is>
          <t>Utilities</t>
        </is>
      </c>
      <c r="E66">
        <f>IF(A66="","",A66&amp;" · "&amp;B66)</f>
        <v/>
      </c>
      <c r="F66">
        <f>IF(A66="","",SUMIFS('17-Sep'!$H$19:$H$26,'17-Sep'!$K$19:$K$26,A66))</f>
        <v/>
      </c>
      <c r="G66">
        <f>IF(A66="","",SUMIFS('17-Sep'!$H$32:$H$41,'17-Sep'!$K$32:$K$41,A66))</f>
        <v/>
      </c>
    </row>
    <row r="67">
      <c r="A67" t="n">
        <v>70420</v>
      </c>
      <c r="B67" t="inlineStr">
        <is>
          <t>Sui Gas</t>
        </is>
      </c>
      <c r="C67" t="inlineStr">
        <is>
          <t>Expense</t>
        </is>
      </c>
      <c r="D67" t="inlineStr">
        <is>
          <t>Utilities</t>
        </is>
      </c>
      <c r="E67">
        <f>IF(A67="","",A67&amp;" · "&amp;B67)</f>
        <v/>
      </c>
      <c r="F67">
        <f>IF(A67="","",SUMIFS('17-Sep'!$H$19:$H$26,'17-Sep'!$K$19:$K$26,A67))</f>
        <v/>
      </c>
      <c r="G67">
        <f>IF(A67="","",SUMIFS('17-Sep'!$H$32:$H$41,'17-Sep'!$K$32:$K$41,A67))</f>
        <v/>
      </c>
    </row>
    <row r="68">
      <c r="A68" t="n">
        <v>70430</v>
      </c>
      <c r="B68" t="inlineStr">
        <is>
          <t>Water</t>
        </is>
      </c>
      <c r="C68" t="inlineStr">
        <is>
          <t>Expense</t>
        </is>
      </c>
      <c r="D68" t="inlineStr">
        <is>
          <t>Utilities</t>
        </is>
      </c>
      <c r="E68">
        <f>IF(A68="","",A68&amp;" · "&amp;B68)</f>
        <v/>
      </c>
      <c r="F68">
        <f>IF(A68="","",SUMIFS('17-Sep'!$H$19:$H$26,'17-Sep'!$K$19:$K$26,A68))</f>
        <v/>
      </c>
      <c r="G68">
        <f>IF(A68="","",SUMIFS('17-Sep'!$H$32:$H$41,'17-Sep'!$K$32:$K$41,A68))</f>
        <v/>
      </c>
    </row>
    <row r="69">
      <c r="A69" t="n">
        <v>70500</v>
      </c>
      <c r="B69" t="inlineStr">
        <is>
          <t>Printing &amp; Stationery</t>
        </is>
      </c>
      <c r="C69" t="inlineStr">
        <is>
          <t>Expense</t>
        </is>
      </c>
      <c r="D69" t="inlineStr">
        <is>
          <t>Administrative Expenses</t>
        </is>
      </c>
      <c r="E69">
        <f>IF(A69="","",A69&amp;" · "&amp;B69)</f>
        <v/>
      </c>
      <c r="F69">
        <f>IF(A69="","",SUMIFS('17-Sep'!$H$19:$H$26,'17-Sep'!$K$19:$K$26,A69))</f>
        <v/>
      </c>
      <c r="G69">
        <f>IF(A69="","",SUMIFS('17-Sep'!$H$32:$H$41,'17-Sep'!$K$32:$K$41,A69))</f>
        <v/>
      </c>
    </row>
    <row r="70">
      <c r="A70" t="n">
        <v>70600</v>
      </c>
      <c r="B70" t="inlineStr">
        <is>
          <t>Communication &amp; Internet</t>
        </is>
      </c>
      <c r="C70" t="inlineStr">
        <is>
          <t>Expense</t>
        </is>
      </c>
      <c r="D70" t="inlineStr">
        <is>
          <t>Administrative Expenses</t>
        </is>
      </c>
      <c r="E70">
        <f>IF(A70="","",A70&amp;" · "&amp;B70)</f>
        <v/>
      </c>
      <c r="F70">
        <f>IF(A70="","",SUMIFS('17-Sep'!$H$19:$H$26,'17-Sep'!$K$19:$K$26,A70))</f>
        <v/>
      </c>
      <c r="G70">
        <f>IF(A70="","",SUMIFS('17-Sep'!$H$32:$H$41,'17-Sep'!$K$32:$K$41,A70))</f>
        <v/>
      </c>
    </row>
    <row r="71">
      <c r="A71" t="n">
        <v>70700</v>
      </c>
      <c r="B71" t="inlineStr">
        <is>
          <t>Travelling &amp; Conveyance</t>
        </is>
      </c>
      <c r="C71" t="inlineStr">
        <is>
          <t>Expense</t>
        </is>
      </c>
      <c r="D71" t="inlineStr">
        <is>
          <t>Administrative Expenses</t>
        </is>
      </c>
      <c r="E71">
        <f>IF(A71="","",A71&amp;" · "&amp;B71)</f>
        <v/>
      </c>
      <c r="F71">
        <f>IF(A71="","",SUMIFS('17-Sep'!$H$19:$H$26,'17-Sep'!$K$19:$K$26,A71))</f>
        <v/>
      </c>
      <c r="G71">
        <f>IF(A71="","",SUMIFS('17-Sep'!$H$32:$H$41,'17-Sep'!$K$32:$K$41,A71))</f>
        <v/>
      </c>
    </row>
    <row r="72">
      <c r="A72" t="n">
        <v>70800</v>
      </c>
      <c r="B72" t="inlineStr">
        <is>
          <t>Repair &amp; Maintenance</t>
        </is>
      </c>
      <c r="C72" t="inlineStr">
        <is>
          <t>Expense</t>
        </is>
      </c>
      <c r="D72" t="inlineStr">
        <is>
          <t>Administrative Expenses</t>
        </is>
      </c>
      <c r="E72">
        <f>IF(A72="","",A72&amp;" · "&amp;B72)</f>
        <v/>
      </c>
      <c r="F72">
        <f>IF(A72="","",SUMIFS('17-Sep'!$H$19:$H$26,'17-Sep'!$K$19:$K$26,A72))</f>
        <v/>
      </c>
      <c r="G72">
        <f>IF(A72="","",SUMIFS('17-Sep'!$H$32:$H$41,'17-Sep'!$K$32:$K$41,A72))</f>
        <v/>
      </c>
    </row>
    <row r="73">
      <c r="A73" t="n">
        <v>70900</v>
      </c>
      <c r="B73" t="inlineStr">
        <is>
          <t>Legal &amp; Professional Fees</t>
        </is>
      </c>
      <c r="C73" t="inlineStr">
        <is>
          <t>Expense</t>
        </is>
      </c>
      <c r="D73" t="inlineStr">
        <is>
          <t>Administrative Expenses</t>
        </is>
      </c>
      <c r="E73">
        <f>IF(A73="","",A73&amp;" · "&amp;B73)</f>
        <v/>
      </c>
      <c r="F73">
        <f>IF(A73="","",SUMIFS('17-Sep'!$H$19:$H$26,'17-Sep'!$K$19:$K$26,A73))</f>
        <v/>
      </c>
      <c r="G73">
        <f>IF(A73="","",SUMIFS('17-Sep'!$H$32:$H$41,'17-Sep'!$K$32:$K$41,A73))</f>
        <v/>
      </c>
    </row>
    <row r="74">
      <c r="A74" t="n">
        <v>81100</v>
      </c>
      <c r="B74" t="inlineStr">
        <is>
          <t>Donations, Sadqa &amp; Khairat</t>
        </is>
      </c>
      <c r="C74" t="inlineStr">
        <is>
          <t>Expense</t>
        </is>
      </c>
      <c r="D74" t="inlineStr">
        <is>
          <t>Other Operating Expenses</t>
        </is>
      </c>
      <c r="E74">
        <f>IF(A74="","",A74&amp;" · "&amp;B74)</f>
        <v/>
      </c>
      <c r="F74">
        <f>IF(A74="","",SUMIFS('17-Sep'!$H$19:$H$26,'17-Sep'!$K$19:$K$26,A74))</f>
        <v/>
      </c>
      <c r="G74">
        <f>IF(A74="","",SUMIFS('17-Sep'!$H$32:$H$41,'17-Sep'!$K$32:$K$41,A74))</f>
        <v/>
      </c>
    </row>
    <row r="75">
      <c r="A75" t="n">
        <v>81200</v>
      </c>
      <c r="B75" t="inlineStr">
        <is>
          <t>Depreciation Expense</t>
        </is>
      </c>
      <c r="C75" t="inlineStr">
        <is>
          <t>Expense</t>
        </is>
      </c>
      <c r="D75" t="inlineStr">
        <is>
          <t>Other Operating Expenses</t>
        </is>
      </c>
      <c r="E75">
        <f>IF(A75="","",A75&amp;" · "&amp;B75)</f>
        <v/>
      </c>
      <c r="F75">
        <f>IF(A75="","",SUMIFS('17-Sep'!$H$19:$H$26,'17-Sep'!$K$19:$K$26,A75))</f>
        <v/>
      </c>
      <c r="G75">
        <f>IF(A75="","",SUMIFS('17-Sep'!$H$32:$H$41,'17-Sep'!$K$32:$K$41,A75))</f>
        <v/>
      </c>
    </row>
    <row r="76">
      <c r="A76" t="n">
        <v>81300</v>
      </c>
      <c r="B76" t="inlineStr">
        <is>
          <t>Miscellaneous Expense</t>
        </is>
      </c>
      <c r="C76" t="inlineStr">
        <is>
          <t>Expense</t>
        </is>
      </c>
      <c r="D76" t="inlineStr">
        <is>
          <t>Other Operating Expenses</t>
        </is>
      </c>
      <c r="E76">
        <f>IF(A76="","",A76&amp;" · "&amp;B76)</f>
        <v/>
      </c>
      <c r="F76">
        <f>IF(A76="","",SUMIFS('17-Sep'!$H$19:$H$26,'17-Sep'!$K$19:$K$26,A76))</f>
        <v/>
      </c>
      <c r="G76">
        <f>IF(A76="","",SUMIFS('17-Sep'!$H$32:$H$41,'17-Sep'!$K$32:$K$41,A76))</f>
        <v/>
      </c>
    </row>
    <row r="77">
      <c r="A77" t="n">
        <v>85100</v>
      </c>
      <c r="B77" t="inlineStr">
        <is>
          <t>Bank Charges</t>
        </is>
      </c>
      <c r="C77" t="inlineStr">
        <is>
          <t>Expense</t>
        </is>
      </c>
      <c r="D77" t="inlineStr">
        <is>
          <t>Financial Charges</t>
        </is>
      </c>
      <c r="E77">
        <f>IF(A77="","",A77&amp;" · "&amp;B77)</f>
        <v/>
      </c>
      <c r="F77">
        <f>IF(A77="","",SUMIFS('17-Sep'!$H$19:$H$26,'17-Sep'!$K$19:$K$26,A77))</f>
        <v/>
      </c>
      <c r="G77">
        <f>IF(A77="","",SUMIFS('17-Sep'!$H$32:$H$41,'17-Sep'!$K$32:$K$41,A77))</f>
        <v/>
      </c>
    </row>
    <row r="78">
      <c r="A78" t="n">
        <v>85200</v>
      </c>
      <c r="B78" t="inlineStr">
        <is>
          <t>Markup &amp; Interest</t>
        </is>
      </c>
      <c r="C78" t="inlineStr">
        <is>
          <t>Expense</t>
        </is>
      </c>
      <c r="D78" t="inlineStr">
        <is>
          <t>Financial Charges</t>
        </is>
      </c>
      <c r="E78">
        <f>IF(A78="","",A78&amp;" · "&amp;B78)</f>
        <v/>
      </c>
      <c r="F78">
        <f>IF(A78="","",SUMIFS('17-Sep'!$H$19:$H$26,'17-Sep'!$K$19:$K$26,A78))</f>
        <v/>
      </c>
      <c r="G78">
        <f>IF(A78="","",SUMIFS('17-Sep'!$H$32:$H$41,'17-Sep'!$K$32:$K$41,A78))</f>
        <v/>
      </c>
    </row>
    <row r="79">
      <c r="E79">
        <f>IF(A79="","",A79&amp;" · "&amp;B79)</f>
        <v/>
      </c>
      <c r="F79">
        <f>IF(A79="","",SUMIFS('17-Sep'!$H$19:$H$26,'17-Sep'!$K$19:$K$26,A79))</f>
        <v/>
      </c>
      <c r="G79">
        <f>IF(A79="","",SUMIFS('17-Sep'!$H$32:$H$41,'17-Sep'!$K$32:$K$41,A79))</f>
        <v/>
      </c>
    </row>
    <row r="80">
      <c r="E80">
        <f>IF(A80="","",A80&amp;" · "&amp;B80)</f>
        <v/>
      </c>
      <c r="F80">
        <f>IF(A80="","",SUMIFS('17-Sep'!$H$19:$H$26,'17-Sep'!$K$19:$K$26,A80))</f>
        <v/>
      </c>
      <c r="G80">
        <f>IF(A80="","",SUMIFS('17-Sep'!$H$32:$H$41,'17-Sep'!$K$32:$K$41,A80))</f>
        <v/>
      </c>
    </row>
    <row r="81">
      <c r="E81">
        <f>IF(A81="","",A81&amp;" · "&amp;B81)</f>
        <v/>
      </c>
      <c r="F81">
        <f>IF(A81="","",SUMIFS('17-Sep'!$H$19:$H$26,'17-Sep'!$K$19:$K$26,A81))</f>
        <v/>
      </c>
      <c r="G81">
        <f>IF(A81="","",SUMIFS('17-Sep'!$H$32:$H$41,'17-Sep'!$K$32:$K$41,A81))</f>
        <v/>
      </c>
    </row>
    <row r="82">
      <c r="E82">
        <f>IF(A82="","",A82&amp;" · "&amp;B82)</f>
        <v/>
      </c>
      <c r="F82">
        <f>IF(A82="","",SUMIFS('17-Sep'!$H$19:$H$26,'17-Sep'!$K$19:$K$26,A82))</f>
        <v/>
      </c>
      <c r="G82">
        <f>IF(A82="","",SUMIFS('17-Sep'!$H$32:$H$41,'17-Sep'!$K$32:$K$41,A82))</f>
        <v/>
      </c>
    </row>
    <row r="83">
      <c r="E83">
        <f>IF(A83="","",A83&amp;" · "&amp;B83)</f>
        <v/>
      </c>
      <c r="F83">
        <f>IF(A83="","",SUMIFS('17-Sep'!$H$19:$H$26,'17-Sep'!$K$19:$K$26,A83))</f>
        <v/>
      </c>
      <c r="G83">
        <f>IF(A83="","",SUMIFS('17-Sep'!$H$32:$H$41,'17-Sep'!$K$32:$K$41,A83))</f>
        <v/>
      </c>
    </row>
    <row r="84">
      <c r="E84">
        <f>IF(A84="","",A84&amp;" · "&amp;B84)</f>
        <v/>
      </c>
      <c r="F84">
        <f>IF(A84="","",SUMIFS('17-Sep'!$H$19:$H$26,'17-Sep'!$K$19:$K$26,A84))</f>
        <v/>
      </c>
      <c r="G84">
        <f>IF(A84="","",SUMIFS('17-Sep'!$H$32:$H$41,'17-Sep'!$K$32:$K$41,A84))</f>
        <v/>
      </c>
    </row>
    <row r="85">
      <c r="E85">
        <f>IF(A85="","",A85&amp;" · "&amp;B85)</f>
        <v/>
      </c>
      <c r="F85">
        <f>IF(A85="","",SUMIFS('17-Sep'!$H$19:$H$26,'17-Sep'!$K$19:$K$26,A85))</f>
        <v/>
      </c>
      <c r="G85">
        <f>IF(A85="","",SUMIFS('17-Sep'!$H$32:$H$41,'17-Sep'!$K$32:$K$41,A85))</f>
        <v/>
      </c>
    </row>
    <row r="86">
      <c r="E86">
        <f>IF(A86="","",A86&amp;" · "&amp;B86)</f>
        <v/>
      </c>
      <c r="F86">
        <f>IF(A86="","",SUMIFS('17-Sep'!$H$19:$H$26,'17-Sep'!$K$19:$K$26,A86))</f>
        <v/>
      </c>
      <c r="G86">
        <f>IF(A86="","",SUMIFS('17-Sep'!$H$32:$H$41,'17-Sep'!$K$32:$K$41,A86))</f>
        <v/>
      </c>
    </row>
    <row r="87">
      <c r="E87">
        <f>IF(A87="","",A87&amp;" · "&amp;B87)</f>
        <v/>
      </c>
      <c r="F87">
        <f>IF(A87="","",SUMIFS('17-Sep'!$H$19:$H$26,'17-Sep'!$K$19:$K$26,A87))</f>
        <v/>
      </c>
      <c r="G87">
        <f>IF(A87="","",SUMIFS('17-Sep'!$H$32:$H$41,'17-Sep'!$K$32:$K$41,A87))</f>
        <v/>
      </c>
    </row>
    <row r="88">
      <c r="E88">
        <f>IF(A88="","",A88&amp;" · "&amp;B88)</f>
        <v/>
      </c>
      <c r="F88">
        <f>IF(A88="","",SUMIFS('17-Sep'!$H$19:$H$26,'17-Sep'!$K$19:$K$26,A88))</f>
        <v/>
      </c>
      <c r="G88">
        <f>IF(A88="","",SUMIFS('17-Sep'!$H$32:$H$41,'17-Sep'!$K$32:$K$41,A88))</f>
        <v/>
      </c>
    </row>
    <row r="89">
      <c r="E89">
        <f>IF(A89="","",A89&amp;" · "&amp;B89)</f>
        <v/>
      </c>
      <c r="F89">
        <f>IF(A89="","",SUMIFS('17-Sep'!$H$19:$H$26,'17-Sep'!$K$19:$K$26,A89))</f>
        <v/>
      </c>
      <c r="G89">
        <f>IF(A89="","",SUMIFS('17-Sep'!$H$32:$H$41,'17-Sep'!$K$32:$K$41,A89))</f>
        <v/>
      </c>
    </row>
    <row r="90">
      <c r="E90">
        <f>IF(A90="","",A90&amp;" · "&amp;B90)</f>
        <v/>
      </c>
      <c r="F90">
        <f>IF(A90="","",SUMIFS('17-Sep'!$H$19:$H$26,'17-Sep'!$K$19:$K$26,A90))</f>
        <v/>
      </c>
      <c r="G90">
        <f>IF(A90="","",SUMIFS('17-Sep'!$H$32:$H$41,'17-Sep'!$K$32:$K$41,A90))</f>
        <v/>
      </c>
    </row>
    <row r="91">
      <c r="E91">
        <f>IF(A91="","",A91&amp;" · "&amp;B91)</f>
        <v/>
      </c>
      <c r="F91">
        <f>IF(A91="","",SUMIFS('17-Sep'!$H$19:$H$26,'17-Sep'!$K$19:$K$26,A91))</f>
        <v/>
      </c>
      <c r="G91">
        <f>IF(A91="","",SUMIFS('17-Sep'!$H$32:$H$41,'17-Sep'!$K$32:$K$41,A91))</f>
        <v/>
      </c>
    </row>
    <row r="92">
      <c r="E92">
        <f>IF(A92="","",A92&amp;" · "&amp;B92)</f>
        <v/>
      </c>
      <c r="F92">
        <f>IF(A92="","",SUMIFS('17-Sep'!$H$19:$H$26,'17-Sep'!$K$19:$K$26,A92))</f>
        <v/>
      </c>
      <c r="G92">
        <f>IF(A92="","",SUMIFS('17-Sep'!$H$32:$H$41,'17-Sep'!$K$32:$K$41,A92))</f>
        <v/>
      </c>
    </row>
    <row r="93">
      <c r="E93">
        <f>IF(A93="","",A93&amp;" · "&amp;B93)</f>
        <v/>
      </c>
      <c r="F93">
        <f>IF(A93="","",SUMIFS('17-Sep'!$H$19:$H$26,'17-Sep'!$K$19:$K$26,A93))</f>
        <v/>
      </c>
      <c r="G93">
        <f>IF(A93="","",SUMIFS('17-Sep'!$H$32:$H$41,'17-Sep'!$K$32:$K$41,A93))</f>
        <v/>
      </c>
    </row>
    <row r="94">
      <c r="E94">
        <f>IF(A94="","",A94&amp;" · "&amp;B94)</f>
        <v/>
      </c>
      <c r="F94">
        <f>IF(A94="","",SUMIFS('17-Sep'!$H$19:$H$26,'17-Sep'!$K$19:$K$26,A94))</f>
        <v/>
      </c>
      <c r="G94">
        <f>IF(A94="","",SUMIFS('17-Sep'!$H$32:$H$41,'17-Sep'!$K$32:$K$41,A94))</f>
        <v/>
      </c>
    </row>
    <row r="95">
      <c r="E95">
        <f>IF(A95="","",A95&amp;" · "&amp;B95)</f>
        <v/>
      </c>
      <c r="F95">
        <f>IF(A95="","",SUMIFS('17-Sep'!$H$19:$H$26,'17-Sep'!$K$19:$K$26,A95))</f>
        <v/>
      </c>
      <c r="G95">
        <f>IF(A95="","",SUMIFS('17-Sep'!$H$32:$H$41,'17-Sep'!$K$32:$K$41,A95))</f>
        <v/>
      </c>
    </row>
    <row r="96">
      <c r="E96">
        <f>IF(A96="","",A96&amp;" · "&amp;B96)</f>
        <v/>
      </c>
      <c r="F96">
        <f>IF(A96="","",SUMIFS('17-Sep'!$H$19:$H$26,'17-Sep'!$K$19:$K$26,A96))</f>
        <v/>
      </c>
      <c r="G96">
        <f>IF(A96="","",SUMIFS('17-Sep'!$H$32:$H$41,'17-Sep'!$K$32:$K$41,A96))</f>
        <v/>
      </c>
    </row>
    <row r="97">
      <c r="E97">
        <f>IF(A97="","",A97&amp;" · "&amp;B97)</f>
        <v/>
      </c>
      <c r="F97">
        <f>IF(A97="","",SUMIFS('17-Sep'!$H$19:$H$26,'17-Sep'!$K$19:$K$26,A97))</f>
        <v/>
      </c>
      <c r="G97">
        <f>IF(A97="","",SUMIFS('17-Sep'!$H$32:$H$41,'17-Sep'!$K$32:$K$41,A97))</f>
        <v/>
      </c>
    </row>
    <row r="98">
      <c r="E98">
        <f>IF(A98="","",A98&amp;" · "&amp;B98)</f>
        <v/>
      </c>
      <c r="F98">
        <f>IF(A98="","",SUMIFS('17-Sep'!$H$19:$H$26,'17-Sep'!$K$19:$K$26,A98))</f>
        <v/>
      </c>
      <c r="G98">
        <f>IF(A98="","",SUMIFS('17-Sep'!$H$32:$H$41,'17-Sep'!$K$32:$K$41,A98))</f>
        <v/>
      </c>
    </row>
    <row r="99">
      <c r="E99">
        <f>IF(A99="","",A99&amp;" · "&amp;B99)</f>
        <v/>
      </c>
      <c r="F99">
        <f>IF(A99="","",SUMIFS('17-Sep'!$H$19:$H$26,'17-Sep'!$K$19:$K$26,A99))</f>
        <v/>
      </c>
      <c r="G99">
        <f>IF(A99="","",SUMIFS('17-Sep'!$H$32:$H$41,'17-Sep'!$K$32:$K$41,A99))</f>
        <v/>
      </c>
    </row>
    <row r="100">
      <c r="E100">
        <f>IF(A100="","",A100&amp;" · "&amp;B100)</f>
        <v/>
      </c>
      <c r="F100">
        <f>IF(A100="","",SUMIFS('17-Sep'!$H$19:$H$26,'17-Sep'!$K$19:$K$26,A100))</f>
        <v/>
      </c>
      <c r="G100">
        <f>IF(A100="","",SUMIFS('17-Sep'!$H$32:$H$41,'17-Sep'!$K$32:$K$41,A100))</f>
        <v/>
      </c>
    </row>
    <row r="101">
      <c r="E101">
        <f>IF(A101="","",A101&amp;" · "&amp;B101)</f>
        <v/>
      </c>
      <c r="F101">
        <f>IF(A101="","",SUMIFS('17-Sep'!$H$19:$H$26,'17-Sep'!$K$19:$K$26,A101))</f>
        <v/>
      </c>
      <c r="G101">
        <f>IF(A101="","",SUMIFS('17-Sep'!$H$32:$H$41,'17-Sep'!$K$32:$K$41,A101))</f>
        <v/>
      </c>
    </row>
    <row r="102">
      <c r="E102">
        <f>IF(A102="","",A102&amp;" · "&amp;B102)</f>
        <v/>
      </c>
      <c r="F102">
        <f>IF(A102="","",SUMIFS('17-Sep'!$H$19:$H$26,'17-Sep'!$K$19:$K$26,A102))</f>
        <v/>
      </c>
      <c r="G102">
        <f>IF(A102="","",SUMIFS('17-Sep'!$H$32:$H$41,'17-Sep'!$K$32:$K$41,A102))</f>
        <v/>
      </c>
    </row>
    <row r="103">
      <c r="E103">
        <f>IF(A103="","",A103&amp;" · "&amp;B103)</f>
        <v/>
      </c>
      <c r="F103">
        <f>IF(A103="","",SUMIFS('17-Sep'!$H$19:$H$26,'17-Sep'!$K$19:$K$26,A103))</f>
        <v/>
      </c>
      <c r="G103">
        <f>IF(A103="","",SUMIFS('17-Sep'!$H$32:$H$41,'17-Sep'!$K$32:$K$41,A103))</f>
        <v/>
      </c>
    </row>
    <row r="104">
      <c r="E104">
        <f>IF(A104="","",A104&amp;" · "&amp;B104)</f>
        <v/>
      </c>
      <c r="F104">
        <f>IF(A104="","",SUMIFS('17-Sep'!$H$19:$H$26,'17-Sep'!$K$19:$K$26,A104))</f>
        <v/>
      </c>
      <c r="G104">
        <f>IF(A104="","",SUMIFS('17-Sep'!$H$32:$H$41,'17-Sep'!$K$32:$K$41,A104))</f>
        <v/>
      </c>
    </row>
    <row r="105">
      <c r="E105">
        <f>IF(A105="","",A105&amp;" · "&amp;B105)</f>
        <v/>
      </c>
      <c r="F105">
        <f>IF(A105="","",SUMIFS('17-Sep'!$H$19:$H$26,'17-Sep'!$K$19:$K$26,A105))</f>
        <v/>
      </c>
      <c r="G105">
        <f>IF(A105="","",SUMIFS('17-Sep'!$H$32:$H$41,'17-Sep'!$K$32:$K$41,A105))</f>
        <v/>
      </c>
    </row>
    <row r="106">
      <c r="E106">
        <f>IF(A106="","",A106&amp;" · "&amp;B106)</f>
        <v/>
      </c>
      <c r="F106">
        <f>IF(A106="","",SUMIFS('17-Sep'!$H$19:$H$26,'17-Sep'!$K$19:$K$26,A106))</f>
        <v/>
      </c>
      <c r="G106">
        <f>IF(A106="","",SUMIFS('17-Sep'!$H$32:$H$41,'17-Sep'!$K$32:$K$41,A106))</f>
        <v/>
      </c>
    </row>
    <row r="107">
      <c r="E107">
        <f>IF(A107="","",A107&amp;" · "&amp;B107)</f>
        <v/>
      </c>
      <c r="F107">
        <f>IF(A107="","",SUMIFS('17-Sep'!$H$19:$H$26,'17-Sep'!$K$19:$K$26,A107))</f>
        <v/>
      </c>
      <c r="G107">
        <f>IF(A107="","",SUMIFS('17-Sep'!$H$32:$H$41,'17-Sep'!$K$32:$K$41,A107))</f>
        <v/>
      </c>
    </row>
    <row r="108">
      <c r="E108">
        <f>IF(A108="","",A108&amp;" · "&amp;B108)</f>
        <v/>
      </c>
      <c r="F108">
        <f>IF(A108="","",SUMIFS('17-Sep'!$H$19:$H$26,'17-Sep'!$K$19:$K$26,A108))</f>
        <v/>
      </c>
      <c r="G108">
        <f>IF(A108="","",SUMIFS('17-Sep'!$H$32:$H$41,'17-Sep'!$K$32:$K$41,A108))</f>
        <v/>
      </c>
    </row>
    <row r="109">
      <c r="E109">
        <f>IF(A109="","",A109&amp;" · "&amp;B109)</f>
        <v/>
      </c>
      <c r="F109">
        <f>IF(A109="","",SUMIFS('17-Sep'!$H$19:$H$26,'17-Sep'!$K$19:$K$26,A109))</f>
        <v/>
      </c>
      <c r="G109">
        <f>IF(A109="","",SUMIFS('17-Sep'!$H$32:$H$41,'17-Sep'!$K$32:$K$41,A109))</f>
        <v/>
      </c>
    </row>
    <row r="110">
      <c r="E110">
        <f>IF(A110="","",A110&amp;" · "&amp;B110)</f>
        <v/>
      </c>
      <c r="F110">
        <f>IF(A110="","",SUMIFS('17-Sep'!$H$19:$H$26,'17-Sep'!$K$19:$K$26,A110))</f>
        <v/>
      </c>
      <c r="G110">
        <f>IF(A110="","",SUMIFS('17-Sep'!$H$32:$H$41,'17-Sep'!$K$32:$K$41,A110))</f>
        <v/>
      </c>
    </row>
    <row r="111">
      <c r="E111">
        <f>IF(A111="","",A111&amp;" · "&amp;B111)</f>
        <v/>
      </c>
      <c r="F111">
        <f>IF(A111="","",SUMIFS('17-Sep'!$H$19:$H$26,'17-Sep'!$K$19:$K$26,A111))</f>
        <v/>
      </c>
      <c r="G111">
        <f>IF(A111="","",SUMIFS('17-Sep'!$H$32:$H$41,'17-Sep'!$K$32:$K$41,A111))</f>
        <v/>
      </c>
    </row>
    <row r="112">
      <c r="E112">
        <f>IF(A112="","",A112&amp;" · "&amp;B112)</f>
        <v/>
      </c>
      <c r="F112">
        <f>IF(A112="","",SUMIFS('17-Sep'!$H$19:$H$26,'17-Sep'!$K$19:$K$26,A112))</f>
        <v/>
      </c>
      <c r="G112">
        <f>IF(A112="","",SUMIFS('17-Sep'!$H$32:$H$41,'17-Sep'!$K$32:$K$41,A112))</f>
        <v/>
      </c>
    </row>
    <row r="113">
      <c r="E113">
        <f>IF(A113="","",A113&amp;" · "&amp;B113)</f>
        <v/>
      </c>
      <c r="F113">
        <f>IF(A113="","",SUMIFS('17-Sep'!$H$19:$H$26,'17-Sep'!$K$19:$K$26,A113))</f>
        <v/>
      </c>
      <c r="G113">
        <f>IF(A113="","",SUMIFS('17-Sep'!$H$32:$H$41,'17-Sep'!$K$32:$K$41,A113))</f>
        <v/>
      </c>
    </row>
    <row r="114">
      <c r="E114">
        <f>IF(A114="","",A114&amp;" · "&amp;B114)</f>
        <v/>
      </c>
      <c r="F114">
        <f>IF(A114="","",SUMIFS('17-Sep'!$H$19:$H$26,'17-Sep'!$K$19:$K$26,A114))</f>
        <v/>
      </c>
      <c r="G114">
        <f>IF(A114="","",SUMIFS('17-Sep'!$H$32:$H$41,'17-Sep'!$K$32:$K$41,A114))</f>
        <v/>
      </c>
    </row>
    <row r="115">
      <c r="E115">
        <f>IF(A115="","",A115&amp;" · "&amp;B115)</f>
        <v/>
      </c>
      <c r="F115">
        <f>IF(A115="","",SUMIFS('17-Sep'!$H$19:$H$26,'17-Sep'!$K$19:$K$26,A115))</f>
        <v/>
      </c>
      <c r="G115">
        <f>IF(A115="","",SUMIFS('17-Sep'!$H$32:$H$41,'17-Sep'!$K$32:$K$41,A115))</f>
        <v/>
      </c>
    </row>
    <row r="116">
      <c r="E116">
        <f>IF(A116="","",A116&amp;" · "&amp;B116)</f>
        <v/>
      </c>
      <c r="F116">
        <f>IF(A116="","",SUMIFS('17-Sep'!$H$19:$H$26,'17-Sep'!$K$19:$K$26,A116))</f>
        <v/>
      </c>
      <c r="G116">
        <f>IF(A116="","",SUMIFS('17-Sep'!$H$32:$H$41,'17-Sep'!$K$32:$K$41,A116))</f>
        <v/>
      </c>
    </row>
    <row r="117">
      <c r="E117">
        <f>IF(A117="","",A117&amp;" · "&amp;B117)</f>
        <v/>
      </c>
      <c r="F117">
        <f>IF(A117="","",SUMIFS('17-Sep'!$H$19:$H$26,'17-Sep'!$K$19:$K$26,A117))</f>
        <v/>
      </c>
      <c r="G117">
        <f>IF(A117="","",SUMIFS('17-Sep'!$H$32:$H$41,'17-Sep'!$K$32:$K$41,A117))</f>
        <v/>
      </c>
    </row>
    <row r="118">
      <c r="E118">
        <f>IF(A118="","",A118&amp;" · "&amp;B118)</f>
        <v/>
      </c>
      <c r="F118">
        <f>IF(A118="","",SUMIFS('17-Sep'!$H$19:$H$26,'17-Sep'!$K$19:$K$26,A118))</f>
        <v/>
      </c>
      <c r="G118">
        <f>IF(A118="","",SUMIFS('17-Sep'!$H$32:$H$41,'17-Sep'!$K$32:$K$41,A118))</f>
        <v/>
      </c>
    </row>
    <row r="119">
      <c r="E119">
        <f>IF(A119="","",A119&amp;" · "&amp;B119)</f>
        <v/>
      </c>
      <c r="F119">
        <f>IF(A119="","",SUMIFS('17-Sep'!$H$19:$H$26,'17-Sep'!$K$19:$K$26,A119))</f>
        <v/>
      </c>
      <c r="G119">
        <f>IF(A119="","",SUMIFS('17-Sep'!$H$32:$H$41,'17-Sep'!$K$32:$K$41,A119))</f>
        <v/>
      </c>
    </row>
    <row r="120">
      <c r="E120">
        <f>IF(A120="","",A120&amp;" · "&amp;B120)</f>
        <v/>
      </c>
      <c r="F120">
        <f>IF(A120="","",SUMIFS('17-Sep'!$H$19:$H$26,'17-Sep'!$K$19:$K$26,A120))</f>
        <v/>
      </c>
      <c r="G120">
        <f>IF(A120="","",SUMIFS('17-Sep'!$H$32:$H$41,'17-Sep'!$K$32:$K$41,A120))</f>
        <v/>
      </c>
    </row>
    <row r="121">
      <c r="E121">
        <f>IF(A121="","",A121&amp;" · "&amp;B121)</f>
        <v/>
      </c>
      <c r="F121">
        <f>IF(A121="","",SUMIFS('17-Sep'!$H$19:$H$26,'17-Sep'!$K$19:$K$26,A121))</f>
        <v/>
      </c>
      <c r="G121">
        <f>IF(A121="","",SUMIFS('17-Sep'!$H$32:$H$41,'17-Sep'!$K$32:$K$41,A121))</f>
        <v/>
      </c>
    </row>
    <row r="122">
      <c r="E122">
        <f>IF(A122="","",A122&amp;" · "&amp;B122)</f>
        <v/>
      </c>
      <c r="F122">
        <f>IF(A122="","",SUMIFS('17-Sep'!$H$19:$H$26,'17-Sep'!$K$19:$K$26,A122))</f>
        <v/>
      </c>
      <c r="G122">
        <f>IF(A122="","",SUMIFS('17-Sep'!$H$32:$H$41,'17-Sep'!$K$32:$K$41,A122))</f>
        <v/>
      </c>
    </row>
    <row r="123">
      <c r="E123">
        <f>IF(A123="","",A123&amp;" · "&amp;B123)</f>
        <v/>
      </c>
      <c r="F123">
        <f>IF(A123="","",SUMIFS('17-Sep'!$H$19:$H$26,'17-Sep'!$K$19:$K$26,A123))</f>
        <v/>
      </c>
      <c r="G123">
        <f>IF(A123="","",SUMIFS('17-Sep'!$H$32:$H$41,'17-Sep'!$K$32:$K$41,A123))</f>
        <v/>
      </c>
    </row>
    <row r="124">
      <c r="E124">
        <f>IF(A124="","",A124&amp;" · "&amp;B124)</f>
        <v/>
      </c>
      <c r="F124">
        <f>IF(A124="","",SUMIFS('17-Sep'!$H$19:$H$26,'17-Sep'!$K$19:$K$26,A124))</f>
        <v/>
      </c>
      <c r="G124">
        <f>IF(A124="","",SUMIFS('17-Sep'!$H$32:$H$41,'17-Sep'!$K$32:$K$41,A124))</f>
        <v/>
      </c>
    </row>
    <row r="125">
      <c r="E125">
        <f>IF(A125="","",A125&amp;" · "&amp;B125)</f>
        <v/>
      </c>
      <c r="F125">
        <f>IF(A125="","",SUMIFS('17-Sep'!$H$19:$H$26,'17-Sep'!$K$19:$K$26,A125))</f>
        <v/>
      </c>
      <c r="G125">
        <f>IF(A125="","",SUMIFS('17-Sep'!$H$32:$H$41,'17-Sep'!$K$32:$K$41,A125))</f>
        <v/>
      </c>
    </row>
    <row r="126">
      <c r="E126">
        <f>IF(A126="","",A126&amp;" · "&amp;B126)</f>
        <v/>
      </c>
      <c r="F126">
        <f>IF(A126="","",SUMIFS('17-Sep'!$H$19:$H$26,'17-Sep'!$K$19:$K$26,A126))</f>
        <v/>
      </c>
      <c r="G126">
        <f>IF(A126="","",SUMIFS('17-Sep'!$H$32:$H$41,'17-Sep'!$K$32:$K$41,A126))</f>
        <v/>
      </c>
    </row>
    <row r="127">
      <c r="E127">
        <f>IF(A127="","",A127&amp;" · "&amp;B127)</f>
        <v/>
      </c>
      <c r="F127">
        <f>IF(A127="","",SUMIFS('17-Sep'!$H$19:$H$26,'17-Sep'!$K$19:$K$26,A127))</f>
        <v/>
      </c>
      <c r="G127">
        <f>IF(A127="","",SUMIFS('17-Sep'!$H$32:$H$41,'17-Sep'!$K$32:$K$41,A127))</f>
        <v/>
      </c>
    </row>
    <row r="128">
      <c r="E128">
        <f>IF(A128="","",A128&amp;" · "&amp;B128)</f>
        <v/>
      </c>
      <c r="F128">
        <f>IF(A128="","",SUMIFS('17-Sep'!$H$19:$H$26,'17-Sep'!$K$19:$K$26,A128))</f>
        <v/>
      </c>
      <c r="G128">
        <f>IF(A128="","",SUMIFS('17-Sep'!$H$32:$H$41,'17-Sep'!$K$32:$K$41,A128))</f>
        <v/>
      </c>
    </row>
    <row r="129">
      <c r="E129">
        <f>IF(A129="","",A129&amp;" · "&amp;B129)</f>
        <v/>
      </c>
      <c r="F129">
        <f>IF(A129="","",SUMIFS('17-Sep'!$H$19:$H$26,'17-Sep'!$K$19:$K$26,A129))</f>
        <v/>
      </c>
      <c r="G129">
        <f>IF(A129="","",SUMIFS('17-Sep'!$H$32:$H$41,'17-Sep'!$K$32:$K$41,A129))</f>
        <v/>
      </c>
    </row>
    <row r="130">
      <c r="E130">
        <f>IF(A130="","",A130&amp;" · "&amp;B130)</f>
        <v/>
      </c>
      <c r="F130">
        <f>IF(A130="","",SUMIFS('17-Sep'!$H$19:$H$26,'17-Sep'!$K$19:$K$26,A130))</f>
        <v/>
      </c>
      <c r="G130">
        <f>IF(A130="","",SUMIFS('17-Sep'!$H$32:$H$41,'17-Sep'!$K$32:$K$41,A130))</f>
        <v/>
      </c>
    </row>
    <row r="131">
      <c r="E131">
        <f>IF(A131="","",A131&amp;" · "&amp;B131)</f>
        <v/>
      </c>
      <c r="F131">
        <f>IF(A131="","",SUMIFS('17-Sep'!$H$19:$H$26,'17-Sep'!$K$19:$K$26,A131))</f>
        <v/>
      </c>
      <c r="G131">
        <f>IF(A131="","",SUMIFS('17-Sep'!$H$32:$H$41,'17-Sep'!$K$32:$K$41,A131))</f>
        <v/>
      </c>
    </row>
    <row r="132">
      <c r="E132">
        <f>IF(A132="","",A132&amp;" · "&amp;B132)</f>
        <v/>
      </c>
      <c r="F132">
        <f>IF(A132="","",SUMIFS('17-Sep'!$H$19:$H$26,'17-Sep'!$K$19:$K$26,A132))</f>
        <v/>
      </c>
      <c r="G132">
        <f>IF(A132="","",SUMIFS('17-Sep'!$H$32:$H$41,'17-Sep'!$K$32:$K$41,A132))</f>
        <v/>
      </c>
    </row>
    <row r="133">
      <c r="E133">
        <f>IF(A133="","",A133&amp;" · "&amp;B133)</f>
        <v/>
      </c>
      <c r="F133">
        <f>IF(A133="","",SUMIFS('17-Sep'!$H$19:$H$26,'17-Sep'!$K$19:$K$26,A133))</f>
        <v/>
      </c>
      <c r="G133">
        <f>IF(A133="","",SUMIFS('17-Sep'!$H$32:$H$41,'17-Sep'!$K$32:$K$41,A133))</f>
        <v/>
      </c>
    </row>
    <row r="134">
      <c r="E134">
        <f>IF(A134="","",A134&amp;" · "&amp;B134)</f>
        <v/>
      </c>
      <c r="F134">
        <f>IF(A134="","",SUMIFS('17-Sep'!$H$19:$H$26,'17-Sep'!$K$19:$K$26,A134))</f>
        <v/>
      </c>
      <c r="G134">
        <f>IF(A134="","",SUMIFS('17-Sep'!$H$32:$H$41,'17-Sep'!$K$32:$K$41,A134))</f>
        <v/>
      </c>
    </row>
    <row r="135">
      <c r="E135">
        <f>IF(A135="","",A135&amp;" · "&amp;B135)</f>
        <v/>
      </c>
      <c r="F135">
        <f>IF(A135="","",SUMIFS('17-Sep'!$H$19:$H$26,'17-Sep'!$K$19:$K$26,A135))</f>
        <v/>
      </c>
      <c r="G135">
        <f>IF(A135="","",SUMIFS('17-Sep'!$H$32:$H$41,'17-Sep'!$K$32:$K$41,A135))</f>
        <v/>
      </c>
    </row>
    <row r="136">
      <c r="E136">
        <f>IF(A136="","",A136&amp;" · "&amp;B136)</f>
        <v/>
      </c>
      <c r="F136">
        <f>IF(A136="","",SUMIFS('17-Sep'!$H$19:$H$26,'17-Sep'!$K$19:$K$26,A136))</f>
        <v/>
      </c>
      <c r="G136">
        <f>IF(A136="","",SUMIFS('17-Sep'!$H$32:$H$41,'17-Sep'!$K$32:$K$41,A136))</f>
        <v/>
      </c>
    </row>
    <row r="137">
      <c r="E137">
        <f>IF(A137="","",A137&amp;" · "&amp;B137)</f>
        <v/>
      </c>
      <c r="F137">
        <f>IF(A137="","",SUMIFS('17-Sep'!$H$19:$H$26,'17-Sep'!$K$19:$K$26,A137))</f>
        <v/>
      </c>
      <c r="G137">
        <f>IF(A137="","",SUMIFS('17-Sep'!$H$32:$H$41,'17-Sep'!$K$32:$K$41,A137))</f>
        <v/>
      </c>
    </row>
    <row r="138">
      <c r="E138">
        <f>IF(A138="","",A138&amp;" · "&amp;B138)</f>
        <v/>
      </c>
      <c r="F138">
        <f>IF(A138="","",SUMIFS('17-Sep'!$H$19:$H$26,'17-Sep'!$K$19:$K$26,A138))</f>
        <v/>
      </c>
      <c r="G138">
        <f>IF(A138="","",SUMIFS('17-Sep'!$H$32:$H$41,'17-Sep'!$K$32:$K$41,A138))</f>
        <v/>
      </c>
    </row>
    <row r="139">
      <c r="E139">
        <f>IF(A139="","",A139&amp;" · "&amp;B139)</f>
        <v/>
      </c>
      <c r="F139">
        <f>IF(A139="","",SUMIFS('17-Sep'!$H$19:$H$26,'17-Sep'!$K$19:$K$26,A139))</f>
        <v/>
      </c>
      <c r="G139">
        <f>IF(A139="","",SUMIFS('17-Sep'!$H$32:$H$41,'17-Sep'!$K$32:$K$41,A139))</f>
        <v/>
      </c>
    </row>
    <row r="140">
      <c r="E140">
        <f>IF(A140="","",A140&amp;" · "&amp;B140)</f>
        <v/>
      </c>
      <c r="F140">
        <f>IF(A140="","",SUMIFS('17-Sep'!$H$19:$H$26,'17-Sep'!$K$19:$K$26,A140))</f>
        <v/>
      </c>
      <c r="G140">
        <f>IF(A140="","",SUMIFS('17-Sep'!$H$32:$H$41,'17-Sep'!$K$32:$K$41,A140))</f>
        <v/>
      </c>
    </row>
    <row r="141">
      <c r="E141">
        <f>IF(A141="","",A141&amp;" · "&amp;B141)</f>
        <v/>
      </c>
      <c r="F141">
        <f>IF(A141="","",SUMIFS('17-Sep'!$H$19:$H$26,'17-Sep'!$K$19:$K$26,A141))</f>
        <v/>
      </c>
      <c r="G141">
        <f>IF(A141="","",SUMIFS('17-Sep'!$H$32:$H$41,'17-Sep'!$K$32:$K$41,A141))</f>
        <v/>
      </c>
    </row>
    <row r="142">
      <c r="E142">
        <f>IF(A142="","",A142&amp;" · "&amp;B142)</f>
        <v/>
      </c>
      <c r="F142">
        <f>IF(A142="","",SUMIFS('17-Sep'!$H$19:$H$26,'17-Sep'!$K$19:$K$26,A142))</f>
        <v/>
      </c>
      <c r="G142">
        <f>IF(A142="","",SUMIFS('17-Sep'!$H$32:$H$41,'17-Sep'!$K$32:$K$41,A142))</f>
        <v/>
      </c>
    </row>
    <row r="143">
      <c r="E143">
        <f>IF(A143="","",A143&amp;" · "&amp;B143)</f>
        <v/>
      </c>
      <c r="F143">
        <f>IF(A143="","",SUMIFS('17-Sep'!$H$19:$H$26,'17-Sep'!$K$19:$K$26,A143))</f>
        <v/>
      </c>
      <c r="G143">
        <f>IF(A143="","",SUMIFS('17-Sep'!$H$32:$H$41,'17-Sep'!$K$32:$K$41,A143))</f>
        <v/>
      </c>
    </row>
    <row r="144">
      <c r="E144">
        <f>IF(A144="","",A144&amp;" · "&amp;B144)</f>
        <v/>
      </c>
      <c r="F144">
        <f>IF(A144="","",SUMIFS('17-Sep'!$H$19:$H$26,'17-Sep'!$K$19:$K$26,A144))</f>
        <v/>
      </c>
      <c r="G144">
        <f>IF(A144="","",SUMIFS('17-Sep'!$H$32:$H$41,'17-Sep'!$K$32:$K$41,A144))</f>
        <v/>
      </c>
    </row>
    <row r="145">
      <c r="E145">
        <f>IF(A145="","",A145&amp;" · "&amp;B145)</f>
        <v/>
      </c>
      <c r="F145">
        <f>IF(A145="","",SUMIFS('17-Sep'!$H$19:$H$26,'17-Sep'!$K$19:$K$26,A145))</f>
        <v/>
      </c>
      <c r="G145">
        <f>IF(A145="","",SUMIFS('17-Sep'!$H$32:$H$41,'17-Sep'!$K$32:$K$41,A145))</f>
        <v/>
      </c>
    </row>
    <row r="146">
      <c r="E146">
        <f>IF(A146="","",A146&amp;" · "&amp;B146)</f>
        <v/>
      </c>
      <c r="F146">
        <f>IF(A146="","",SUMIFS('17-Sep'!$H$19:$H$26,'17-Sep'!$K$19:$K$26,A146))</f>
        <v/>
      </c>
      <c r="G146">
        <f>IF(A146="","",SUMIFS('17-Sep'!$H$32:$H$41,'17-Sep'!$K$32:$K$41,A146))</f>
        <v/>
      </c>
    </row>
    <row r="147">
      <c r="E147">
        <f>IF(A147="","",A147&amp;" · "&amp;B147)</f>
        <v/>
      </c>
      <c r="F147">
        <f>IF(A147="","",SUMIFS('17-Sep'!$H$19:$H$26,'17-Sep'!$K$19:$K$26,A147))</f>
        <v/>
      </c>
      <c r="G147">
        <f>IF(A147="","",SUMIFS('17-Sep'!$H$32:$H$41,'17-Sep'!$K$32:$K$41,A147))</f>
        <v/>
      </c>
    </row>
    <row r="148">
      <c r="E148">
        <f>IF(A148="","",A148&amp;" · "&amp;B148)</f>
        <v/>
      </c>
      <c r="F148">
        <f>IF(A148="","",SUMIFS('17-Sep'!$H$19:$H$26,'17-Sep'!$K$19:$K$26,A148))</f>
        <v/>
      </c>
      <c r="G148">
        <f>IF(A148="","",SUMIFS('17-Sep'!$H$32:$H$41,'17-Sep'!$K$32:$K$41,A148))</f>
        <v/>
      </c>
    </row>
    <row r="149">
      <c r="E149">
        <f>IF(A149="","",A149&amp;" · "&amp;B149)</f>
        <v/>
      </c>
      <c r="F149">
        <f>IF(A149="","",SUMIFS('17-Sep'!$H$19:$H$26,'17-Sep'!$K$19:$K$26,A149))</f>
        <v/>
      </c>
      <c r="G149">
        <f>IF(A149="","",SUMIFS('17-Sep'!$H$32:$H$41,'17-Sep'!$K$32:$K$41,A149))</f>
        <v/>
      </c>
    </row>
    <row r="150">
      <c r="E150">
        <f>IF(A150="","",A150&amp;" · "&amp;B150)</f>
        <v/>
      </c>
      <c r="F150">
        <f>IF(A150="","",SUMIFS('17-Sep'!$H$19:$H$26,'17-Sep'!$K$19:$K$26,A150))</f>
        <v/>
      </c>
      <c r="G150">
        <f>IF(A150="","",SUMIFS('17-Sep'!$H$32:$H$41,'17-Sep'!$K$32:$K$41,A150))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Via</t>
        </is>
      </c>
    </row>
    <row r="2">
      <c r="A2" t="inlineStr">
        <is>
          <t>LG</t>
        </is>
      </c>
      <c r="B2" t="inlineStr">
        <is>
          <t>Cash</t>
        </is>
      </c>
    </row>
    <row r="3">
      <c r="A3" t="inlineStr">
        <is>
          <t>GF</t>
        </is>
      </c>
      <c r="B3" t="inlineStr">
        <is>
          <t>Petty</t>
        </is>
      </c>
    </row>
    <row r="4">
      <c r="A4" t="inlineStr">
        <is>
          <t>FF</t>
        </is>
      </c>
      <c r="B4" t="inlineStr">
        <is>
          <t>Bank</t>
        </is>
      </c>
    </row>
    <row r="5">
      <c r="A5" t="inlineStr">
        <is>
          <t>SF</t>
        </is>
      </c>
    </row>
    <row r="6">
      <c r="A6" t="inlineStr">
        <is>
          <t>TF</t>
        </is>
      </c>
    </row>
    <row r="7">
      <c r="A7" t="inlineStr">
        <is>
          <t>4F</t>
        </is>
      </c>
    </row>
    <row r="8">
      <c r="A8" t="inlineStr">
        <is>
          <t>5F</t>
        </is>
      </c>
    </row>
    <row r="9">
      <c r="A9" t="inlineStr">
        <is>
          <t>CB</t>
        </is>
      </c>
    </row>
    <row r="10">
      <c r="A10" t="inlineStr">
        <is>
          <t>Project-wide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2026-09-17T07:53:13Z</dcterms:created>
  <dcterms:modified xmlns:dcterms="http://purl.org/dc/terms/" xmlns:xsi="http://www.w3.org/2001/XMLSchema-instance" xsi:type="dcterms:W3CDTF">2026-09-17T18:51:30Z</dcterms:modified>
</cp:coreProperties>
</file>